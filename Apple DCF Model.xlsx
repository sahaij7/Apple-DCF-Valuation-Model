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haij/"/>
    </mc:Choice>
  </mc:AlternateContent>
  <xr:revisionPtr revIDLastSave="0" documentId="13_ncr:1_{2BF24177-37A4-8A43-900C-9EE04F3FF2C8}" xr6:coauthVersionLast="47" xr6:coauthVersionMax="47" xr10:uidLastSave="{00000000-0000-0000-0000-000000000000}"/>
  <bookViews>
    <workbookView xWindow="0" yWindow="500" windowWidth="28800" windowHeight="16100" xr2:uid="{5D2F2182-491C-6449-96AD-1B04A3F064B1}"/>
  </bookViews>
  <sheets>
    <sheet name="DCF" sheetId="1" r:id="rId1"/>
    <sheet name="Income Statement" sheetId="2" r:id="rId2"/>
    <sheet name="Balance Sheet" sheetId="3" r:id="rId3"/>
    <sheet name="Cash Flow" sheetId="4" r:id="rId4"/>
    <sheet name="Estimates" sheetId="5" r:id="rId5"/>
    <sheet name="WACC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5" i="1" l="1"/>
  <c r="L75" i="1"/>
  <c r="L76" i="1"/>
  <c r="G69" i="1"/>
  <c r="C16" i="1"/>
  <c r="C15" i="1"/>
  <c r="E20" i="6"/>
  <c r="E18" i="6"/>
  <c r="E22" i="6" s="1"/>
  <c r="I15" i="1" s="1"/>
  <c r="F15" i="1" s="1"/>
  <c r="E16" i="6"/>
  <c r="E9" i="6"/>
  <c r="E15" i="6"/>
  <c r="E10" i="6"/>
  <c r="G39" i="1"/>
  <c r="H39" i="1" s="1"/>
  <c r="I39" i="1" s="1"/>
  <c r="L53" i="1"/>
  <c r="L44" i="1"/>
  <c r="L41" i="1" s="1"/>
  <c r="L42" i="1"/>
  <c r="L43" i="1"/>
  <c r="L22" i="1"/>
  <c r="L23" i="1" s="1"/>
  <c r="K22" i="1"/>
  <c r="K23" i="1" s="1"/>
  <c r="J22" i="1"/>
  <c r="J23" i="1" s="1"/>
  <c r="I22" i="1"/>
  <c r="I23" i="1" s="1"/>
  <c r="I49" i="1" s="1"/>
  <c r="H22" i="1"/>
  <c r="H23" i="1" s="1"/>
  <c r="H49" i="1" s="1"/>
  <c r="G22" i="1"/>
  <c r="G23" i="1" s="1"/>
  <c r="G49" i="1" s="1"/>
  <c r="L19" i="1"/>
  <c r="L20" i="1" s="1"/>
  <c r="K19" i="1"/>
  <c r="K20" i="1" s="1"/>
  <c r="J19" i="1"/>
  <c r="J20" i="1" s="1"/>
  <c r="I19" i="1"/>
  <c r="I20" i="1" s="1"/>
  <c r="I43" i="1" s="1"/>
  <c r="H19" i="1"/>
  <c r="H20" i="1" s="1"/>
  <c r="H43" i="1" s="1"/>
  <c r="G19" i="1"/>
  <c r="G20" i="1" s="1"/>
  <c r="G43" i="1" s="1"/>
  <c r="F35" i="1"/>
  <c r="F63" i="1" s="1"/>
  <c r="E35" i="1"/>
  <c r="D35" i="1"/>
  <c r="F25" i="1"/>
  <c r="E25" i="1"/>
  <c r="D25" i="1"/>
  <c r="F29" i="1"/>
  <c r="F57" i="1" s="1"/>
  <c r="F58" i="1" s="1"/>
  <c r="E29" i="1"/>
  <c r="E57" i="1" s="1"/>
  <c r="E58" i="1" s="1"/>
  <c r="D29" i="1"/>
  <c r="D57" i="1" s="1"/>
  <c r="D58" i="1" s="1"/>
  <c r="G58" i="1" s="1"/>
  <c r="H58" i="1" s="1"/>
  <c r="I58" i="1" s="1"/>
  <c r="J58" i="1" s="1"/>
  <c r="K58" i="1" s="1"/>
  <c r="L58" i="1" s="1"/>
  <c r="F22" i="1"/>
  <c r="E22" i="1"/>
  <c r="D22" i="1"/>
  <c r="F19" i="1"/>
  <c r="E19" i="1"/>
  <c r="E40" i="1" s="1"/>
  <c r="D19" i="1"/>
  <c r="D40" i="1" s="1"/>
  <c r="G28" i="1"/>
  <c r="H28" i="1" s="1"/>
  <c r="I28" i="1" s="1"/>
  <c r="E30" i="1" l="1"/>
  <c r="D30" i="1"/>
  <c r="F30" i="1"/>
  <c r="F64" i="1"/>
  <c r="G70" i="1"/>
  <c r="H69" i="1"/>
  <c r="J49" i="1"/>
  <c r="I48" i="1"/>
  <c r="I50" i="1"/>
  <c r="H48" i="1"/>
  <c r="H50" i="1"/>
  <c r="G48" i="1"/>
  <c r="G50" i="1"/>
  <c r="I44" i="1"/>
  <c r="I41" i="1" s="1"/>
  <c r="I42" i="1"/>
  <c r="H42" i="1"/>
  <c r="H44" i="1"/>
  <c r="H41" i="1" s="1"/>
  <c r="G42" i="1"/>
  <c r="G44" i="1"/>
  <c r="G41" i="1" s="1"/>
  <c r="G40" i="1" s="1"/>
  <c r="G57" i="1" s="1"/>
  <c r="F52" i="1"/>
  <c r="F53" i="1" s="1"/>
  <c r="F26" i="1"/>
  <c r="E52" i="1"/>
  <c r="E53" i="1" s="1"/>
  <c r="E26" i="1"/>
  <c r="D52" i="1"/>
  <c r="D53" i="1" s="1"/>
  <c r="G53" i="1" s="1"/>
  <c r="H53" i="1" s="1"/>
  <c r="I53" i="1" s="1"/>
  <c r="J53" i="1" s="1"/>
  <c r="K53" i="1" s="1"/>
  <c r="D26" i="1"/>
  <c r="F46" i="1"/>
  <c r="F23" i="1"/>
  <c r="F47" i="1" s="1"/>
  <c r="E46" i="1"/>
  <c r="E23" i="1"/>
  <c r="E47" i="1" s="1"/>
  <c r="D23" i="1"/>
  <c r="D47" i="1" s="1"/>
  <c r="D46" i="1"/>
  <c r="F20" i="1"/>
  <c r="F40" i="1"/>
  <c r="F41" i="1" s="1"/>
  <c r="E41" i="1"/>
  <c r="F33" i="1"/>
  <c r="F60" i="1"/>
  <c r="F61" i="1" s="1"/>
  <c r="E33" i="1"/>
  <c r="E60" i="1"/>
  <c r="E61" i="1" s="1"/>
  <c r="D33" i="1"/>
  <c r="D60" i="1"/>
  <c r="D61" i="1" s="1"/>
  <c r="G61" i="1" s="1"/>
  <c r="E63" i="1"/>
  <c r="E64" i="1" s="1"/>
  <c r="E36" i="1"/>
  <c r="E37" i="1"/>
  <c r="D36" i="1"/>
  <c r="D63" i="1"/>
  <c r="D64" i="1" s="1"/>
  <c r="G64" i="1" s="1"/>
  <c r="J44" i="1"/>
  <c r="K44" i="1" s="1"/>
  <c r="J42" i="1"/>
  <c r="J43" i="1"/>
  <c r="K43" i="1" s="1"/>
  <c r="F37" i="1"/>
  <c r="F36" i="1"/>
  <c r="E20" i="1"/>
  <c r="H40" i="1" l="1"/>
  <c r="I69" i="1"/>
  <c r="J69" i="1" s="1"/>
  <c r="K69" i="1" s="1"/>
  <c r="L69" i="1" s="1"/>
  <c r="H70" i="1"/>
  <c r="I70" i="1" s="1"/>
  <c r="J70" i="1" s="1"/>
  <c r="K70" i="1" s="1"/>
  <c r="L70" i="1" s="1"/>
  <c r="K49" i="1"/>
  <c r="J48" i="1"/>
  <c r="J50" i="1"/>
  <c r="H61" i="1"/>
  <c r="I61" i="1" s="1"/>
  <c r="J61" i="1" s="1"/>
  <c r="K61" i="1" s="1"/>
  <c r="L61" i="1" s="1"/>
  <c r="G60" i="1"/>
  <c r="H64" i="1"/>
  <c r="G63" i="1"/>
  <c r="K42" i="1"/>
  <c r="K41" i="1" s="1"/>
  <c r="J41" i="1"/>
  <c r="H57" i="1" l="1"/>
  <c r="H60" i="1"/>
  <c r="I40" i="1"/>
  <c r="J40" i="1" s="1"/>
  <c r="K48" i="1"/>
  <c r="K50" i="1"/>
  <c r="L49" i="1"/>
  <c r="H63" i="1"/>
  <c r="I64" i="1"/>
  <c r="I57" i="1" l="1"/>
  <c r="I60" i="1"/>
  <c r="L48" i="1"/>
  <c r="L50" i="1"/>
  <c r="I63" i="1"/>
  <c r="J64" i="1"/>
  <c r="J57" i="1"/>
  <c r="J60" i="1"/>
  <c r="K40" i="1"/>
  <c r="J63" i="1" l="1"/>
  <c r="K64" i="1"/>
  <c r="K57" i="1"/>
  <c r="K60" i="1"/>
  <c r="L40" i="1"/>
  <c r="K63" i="1" l="1"/>
  <c r="L64" i="1"/>
  <c r="L63" i="1" s="1"/>
  <c r="L57" i="1"/>
  <c r="L60" i="1"/>
  <c r="H47" i="1" l="1"/>
  <c r="H46" i="1" s="1"/>
  <c r="H52" i="1" s="1"/>
  <c r="H55" i="1" s="1"/>
  <c r="H66" i="1" s="1"/>
  <c r="H67" i="1" s="1"/>
  <c r="K47" i="1"/>
  <c r="K46" i="1" s="1"/>
  <c r="K52" i="1" s="1"/>
  <c r="K55" i="1" s="1"/>
  <c r="K66" i="1" s="1"/>
  <c r="K67" i="1" s="1"/>
  <c r="L47" i="1"/>
  <c r="L46" i="1" s="1"/>
  <c r="L52" i="1" s="1"/>
  <c r="L55" i="1" s="1"/>
  <c r="L66" i="1" s="1"/>
  <c r="I47" i="1"/>
  <c r="I46" i="1" s="1"/>
  <c r="I52" i="1" s="1"/>
  <c r="I55" i="1" s="1"/>
  <c r="I66" i="1" s="1"/>
  <c r="I67" i="1" s="1"/>
  <c r="J47" i="1"/>
  <c r="J46" i="1" s="1"/>
  <c r="J52" i="1" s="1"/>
  <c r="J55" i="1" s="1"/>
  <c r="J66" i="1" s="1"/>
  <c r="J67" i="1" s="1"/>
  <c r="G47" i="1"/>
  <c r="G46" i="1" s="1"/>
  <c r="G52" i="1" s="1"/>
  <c r="G55" i="1" l="1"/>
  <c r="G66" i="1" s="1"/>
  <c r="G67" i="1" s="1"/>
  <c r="L72" i="1"/>
  <c r="L73" i="1" s="1"/>
  <c r="L67" i="1"/>
  <c r="L74" i="1" l="1"/>
  <c r="L77" i="1" s="1"/>
  <c r="L80" i="1" s="1"/>
  <c r="F4" i="1" s="1"/>
  <c r="F6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Office User</author>
  </authors>
  <commentList>
    <comment ref="B3" authorId="0" shapeId="0" xr:uid="{28B84E57-9363-3548-95D4-86FC8D8CA97C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All operating, cash flow, enterprise value, equity value, cash, and debt figures are in $ millions. Diluted shares are shown in millions; implied stock price is in $ per share.</t>
        </r>
      </text>
    </comment>
    <comment ref="I14" authorId="0" shapeId="0" xr:uid="{540B00DD-6D92-6B48-8C38-AAC3F35F7EB1}">
      <text>
        <r>
          <rPr>
            <b/>
            <sz val="10"/>
            <color rgb="FF000000"/>
            <rFont val="Tahoma"/>
            <family val="2"/>
          </rPr>
          <t>Scenario test: lowered terminal tax-rate assumption from 20.0% to 16.5%.</t>
        </r>
      </text>
    </comment>
    <comment ref="B79" authorId="0" shapeId="0" xr:uid="{96E9B4B2-3BD1-1C45-9898-7D416C64A3FC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15,005 represents 15,005 million diluted shares, consistent with Apple’s share count and the $ millions valuation convention.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Office User</author>
  </authors>
  <commentList>
    <comment ref="B3" authorId="0" shapeId="0" xr:uid="{CE04FDB6-0ED4-F74E-88CF-2A6B2872907B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Market cap, debt, and total capital are in $ millions. Percentages and beta are unitless.</t>
        </r>
      </text>
    </comment>
  </commentList>
</comments>
</file>

<file path=xl/sharedStrings.xml><?xml version="1.0" encoding="utf-8"?>
<sst xmlns="http://schemas.openxmlformats.org/spreadsheetml/2006/main" count="335" uniqueCount="265">
  <si>
    <t>APPLE DCF</t>
  </si>
  <si>
    <t>Ticker</t>
  </si>
  <si>
    <t>AAPL</t>
  </si>
  <si>
    <t>Implied Share Price</t>
  </si>
  <si>
    <t>Current Share Price</t>
  </si>
  <si>
    <t>Year End</t>
  </si>
  <si>
    <t xml:space="preserve">Implied Gain / Loss </t>
  </si>
  <si>
    <t>Assumptions</t>
  </si>
  <si>
    <t>Switches</t>
  </si>
  <si>
    <t>Conservative</t>
  </si>
  <si>
    <t>Street/Base</t>
  </si>
  <si>
    <t>Optimistic</t>
  </si>
  <si>
    <t>Revenue</t>
  </si>
  <si>
    <t>Revenue '27-'28</t>
  </si>
  <si>
    <t>EBIT</t>
  </si>
  <si>
    <t>WACC</t>
  </si>
  <si>
    <t>EBIT '27-'28</t>
  </si>
  <si>
    <t>TGR</t>
  </si>
  <si>
    <t>Taxes</t>
  </si>
  <si>
    <t>Income Statement</t>
  </si>
  <si>
    <t>2026E</t>
  </si>
  <si>
    <t>2027E</t>
  </si>
  <si>
    <t>2028E</t>
  </si>
  <si>
    <t>% Growth</t>
  </si>
  <si>
    <t xml:space="preserve"> </t>
  </si>
  <si>
    <t>% of Sales</t>
  </si>
  <si>
    <t>Cash Flow Items</t>
  </si>
  <si>
    <t>D&amp;A</t>
  </si>
  <si>
    <t>CapEx</t>
  </si>
  <si>
    <t>Change in NWC</t>
  </si>
  <si>
    <t>% of Changes in Sales</t>
  </si>
  <si>
    <t>DCF</t>
  </si>
  <si>
    <t>Conservative Case</t>
  </si>
  <si>
    <t>Street Case</t>
  </si>
  <si>
    <t>Optimistic Case</t>
  </si>
  <si>
    <t>% of EBIT</t>
  </si>
  <si>
    <t>EBIAT</t>
  </si>
  <si>
    <t>Unlevered FCF</t>
  </si>
  <si>
    <t>Present Value of FCF</t>
  </si>
  <si>
    <t>Period</t>
  </si>
  <si>
    <t>Discount Period</t>
  </si>
  <si>
    <t>Terminal Value</t>
  </si>
  <si>
    <t>Present Value of Terminal Value</t>
  </si>
  <si>
    <t>Enterprise Value</t>
  </si>
  <si>
    <t>(+) Cash</t>
  </si>
  <si>
    <t>(-) Debt</t>
  </si>
  <si>
    <t>Equity Value</t>
  </si>
  <si>
    <t xml:space="preserve">Diluted Shares </t>
  </si>
  <si>
    <t>Implied Stock Price ($/share)</t>
  </si>
  <si>
    <t>September 27,</t>
  </si>
  <si>
    <t>September 28,</t>
  </si>
  <si>
    <t>September 30,</t>
  </si>
  <si>
    <t>Gross margin</t>
  </si>
  <si>
    <t>Operating expenses:</t>
  </si>
  <si>
    <t>Research and development</t>
  </si>
  <si>
    <t>Selling, general and administrative</t>
  </si>
  <si>
    <t>Total operating expenses</t>
  </si>
  <si>
    <t>Operating income</t>
  </si>
  <si>
    <t>Other income/(expense), net</t>
  </si>
  <si>
    <t>Income before provision for income taxes</t>
  </si>
  <si>
    <t>Provision for income taxes</t>
  </si>
  <si>
    <t>Net income</t>
  </si>
  <si>
    <t>112,010 </t>
  </si>
  <si>
    <t>93,736 </t>
  </si>
  <si>
    <t>96,995 </t>
  </si>
  <si>
    <t>Earnings per share:</t>
  </si>
  <si>
    <t>Apple Inc.</t>
  </si>
  <si>
    <t>Years ended</t>
  </si>
  <si>
    <t>CONSOLIDATED STATEMENTS OF OPERATIONS - USD ($)</t>
  </si>
  <si>
    <t>12 Months Ended</t>
  </si>
  <si>
    <t>shares in Thousands, $ in Millions</t>
  </si>
  <si>
    <t>Sep. 27, 2025</t>
  </si>
  <si>
    <t>Sep. 28, 2024</t>
  </si>
  <si>
    <t>Sep. 30, 2023</t>
  </si>
  <si>
    <t>Net sales</t>
  </si>
  <si>
    <t>Cost of sales</t>
  </si>
  <si>
    <t>$ 112,010</t>
  </si>
  <si>
    <t>$ 93,736</t>
  </si>
  <si>
    <t>$ 96,995</t>
  </si>
  <si>
    <t>Basic (in dollars per share)</t>
  </si>
  <si>
    <t>$ 7.49</t>
  </si>
  <si>
    <t>$ 6.11</t>
  </si>
  <si>
    <t>$ 6.16</t>
  </si>
  <si>
    <t>Diluted (in dollars per share)</t>
  </si>
  <si>
    <t>$ 7.46</t>
  </si>
  <si>
    <t>$ 6.08</t>
  </si>
  <si>
    <t>$ 6.13</t>
  </si>
  <si>
    <t>CONSOLIDATED BALANCE SHEETS</t>
  </si>
  <si>
    <t>(In millions, except number of shares, which are reflected in thousands, and par value)</t>
  </si>
  <si>
    <t>ASSETS:</t>
  </si>
  <si>
    <t>Current assets:</t>
  </si>
  <si>
    <t>Cash and cash equivalents</t>
  </si>
  <si>
    <t>35,934 </t>
  </si>
  <si>
    <t>29,943 </t>
  </si>
  <si>
    <t>Marketable securities</t>
  </si>
  <si>
    <t>18,763 </t>
  </si>
  <si>
    <t>35,228 </t>
  </si>
  <si>
    <t>Accounts receivable, net</t>
  </si>
  <si>
    <t>39,777 </t>
  </si>
  <si>
    <t>33,410 </t>
  </si>
  <si>
    <t>Vendor non-trade receivables</t>
  </si>
  <si>
    <t>33,180 </t>
  </si>
  <si>
    <t>32,833 </t>
  </si>
  <si>
    <t>Inventories</t>
  </si>
  <si>
    <t>5,718 </t>
  </si>
  <si>
    <t>7,286 </t>
  </si>
  <si>
    <t>Other current assets</t>
  </si>
  <si>
    <t>14,585 </t>
  </si>
  <si>
    <t>14,287 </t>
  </si>
  <si>
    <t>Total current assets</t>
  </si>
  <si>
    <t>147,957 </t>
  </si>
  <si>
    <t>152,987 </t>
  </si>
  <si>
    <t>Non-current assets:</t>
  </si>
  <si>
    <t>77,723 </t>
  </si>
  <si>
    <t>91,479 </t>
  </si>
  <si>
    <t>Property, plant and equipment, net</t>
  </si>
  <si>
    <t>49,834 </t>
  </si>
  <si>
    <t>45,680 </t>
  </si>
  <si>
    <t>Other non-current assets</t>
  </si>
  <si>
    <t>83,727 </t>
  </si>
  <si>
    <t>74,834 </t>
  </si>
  <si>
    <t>Total non-current assets</t>
  </si>
  <si>
    <t>211,284 </t>
  </si>
  <si>
    <t>211,993 </t>
  </si>
  <si>
    <t>Total assets</t>
  </si>
  <si>
    <t>359,241 </t>
  </si>
  <si>
    <t>364,980 </t>
  </si>
  <si>
    <t>LIABILITIES AND SHAREHOLDERS’ EQUITY:</t>
  </si>
  <si>
    <t>Current liabilities:</t>
  </si>
  <si>
    <t>Accounts payable</t>
  </si>
  <si>
    <t>69,860 </t>
  </si>
  <si>
    <t>68,960 </t>
  </si>
  <si>
    <t>Other current liabilities</t>
  </si>
  <si>
    <t>66,387 </t>
  </si>
  <si>
    <t>78,304 </t>
  </si>
  <si>
    <t>Deferred revenue</t>
  </si>
  <si>
    <t>9,055 </t>
  </si>
  <si>
    <t>8,249 </t>
  </si>
  <si>
    <t>Commercial paper</t>
  </si>
  <si>
    <t>7,979 </t>
  </si>
  <si>
    <t>9,967 </t>
  </si>
  <si>
    <t>Term debt</t>
  </si>
  <si>
    <t>12,350 </t>
  </si>
  <si>
    <t>10,912 </t>
  </si>
  <si>
    <t>Total current liabilities</t>
  </si>
  <si>
    <t>165,631 </t>
  </si>
  <si>
    <t>176,392 </t>
  </si>
  <si>
    <t>Non-current liabilities:</t>
  </si>
  <si>
    <t>78,328 </t>
  </si>
  <si>
    <t>85,750 </t>
  </si>
  <si>
    <t>Other non-current liabilities</t>
  </si>
  <si>
    <t>41,549 </t>
  </si>
  <si>
    <t>45,888 </t>
  </si>
  <si>
    <t>Total non-current liabilities</t>
  </si>
  <si>
    <t>119,877 </t>
  </si>
  <si>
    <t>131,638 </t>
  </si>
  <si>
    <t>Total liabilities</t>
  </si>
  <si>
    <t>285,508 </t>
  </si>
  <si>
    <t>308,030 </t>
  </si>
  <si>
    <t>Commitments and contingencies</t>
  </si>
  <si>
    <t>Shareholders’ equity:</t>
  </si>
  <si>
    <t>Common stock and additional paid-in capital, $0.00001 par value: 50,400,000 shares authorized; 14,773,260 and 15,116,786 shares issued and outstanding, respectively</t>
  </si>
  <si>
    <t>93,568 </t>
  </si>
  <si>
    <t>83,276 </t>
  </si>
  <si>
    <t>Accumulated deficit</t>
  </si>
  <si>
    <t>Accumulated other comprehensive loss</t>
  </si>
  <si>
    <t>Total shareholders’ equity</t>
  </si>
  <si>
    <t>73,733 </t>
  </si>
  <si>
    <t>56,950 </t>
  </si>
  <si>
    <t>Total liabilities and shareholders’ equity</t>
  </si>
  <si>
    <t>September 27, 2025</t>
  </si>
  <si>
    <t>September 28, 2024</t>
  </si>
  <si>
    <t>CONSOLIDATED STATEMENTS OF CASH FLOWS</t>
  </si>
  <si>
    <t>(In millions)</t>
  </si>
  <si>
    <t>Cash, cash equivalents, and restricted cash and cash equivalents, beginning balances</t>
  </si>
  <si>
    <t>30,737 </t>
  </si>
  <si>
    <t>24,977 </t>
  </si>
  <si>
    <t>Operating activities:</t>
  </si>
  <si>
    <t>Adjustments to reconcile net income to cash generated by operating activities:</t>
  </si>
  <si>
    <t>Depreciation and amortization</t>
  </si>
  <si>
    <t>Share-based compensation expense</t>
  </si>
  <si>
    <t>12,863 </t>
  </si>
  <si>
    <t>11,688 </t>
  </si>
  <si>
    <t>10,833 </t>
  </si>
  <si>
    <t>Other</t>
  </si>
  <si>
    <t>Changes in operating assets and liabilities:</t>
  </si>
  <si>
    <t>1,271 </t>
  </si>
  <si>
    <t>1,400 </t>
  </si>
  <si>
    <t>Other current and non-current assets</t>
  </si>
  <si>
    <t>902 </t>
  </si>
  <si>
    <t>6,020 </t>
  </si>
  <si>
    <t>Other current and non-current liabilities</t>
  </si>
  <si>
    <t>15,552 </t>
  </si>
  <si>
    <t>3,031 </t>
  </si>
  <si>
    <t>Cash generated by operating activities</t>
  </si>
  <si>
    <t>111,482 </t>
  </si>
  <si>
    <t>118,254 </t>
  </si>
  <si>
    <t>110,543 </t>
  </si>
  <si>
    <t>Investing activities:</t>
  </si>
  <si>
    <t>Purchases of marketable securities</t>
  </si>
  <si>
    <t>Proceeds from maturities of marketable securities</t>
  </si>
  <si>
    <t>40,907 </t>
  </si>
  <si>
    <t>51,211 </t>
  </si>
  <si>
    <t>39,686 </t>
  </si>
  <si>
    <t>Proceeds from sales of marketable securities</t>
  </si>
  <si>
    <t>12,890 </t>
  </si>
  <si>
    <t>11,135 </t>
  </si>
  <si>
    <t>5,828 </t>
  </si>
  <si>
    <t>Payments for acquisition of property, plant and equipment</t>
  </si>
  <si>
    <t>Cash generated by investing activities</t>
  </si>
  <si>
    <t>15,195 </t>
  </si>
  <si>
    <t>2,935 </t>
  </si>
  <si>
    <t>3,705 </t>
  </si>
  <si>
    <t>Financing activities:</t>
  </si>
  <si>
    <t>Payments for taxes related to net share settlement of equity awards</t>
  </si>
  <si>
    <t>Payments for dividends and dividend equivalents</t>
  </si>
  <si>
    <t>Repurchases of common stock</t>
  </si>
  <si>
    <t>Proceeds from issuance of term debt, net</t>
  </si>
  <si>
    <t>4,481 </t>
  </si>
  <si>
    <t>— </t>
  </si>
  <si>
    <t>5,228 </t>
  </si>
  <si>
    <t>Repayments of term debt</t>
  </si>
  <si>
    <t>Proceeds from/(Repayments of) commercial paper, net</t>
  </si>
  <si>
    <t>3,960 </t>
  </si>
  <si>
    <t>Cash used in financing activities</t>
  </si>
  <si>
    <t>Increase/(Decrease) in cash, cash equivalents, and restricted cash and cash equivalents</t>
  </si>
  <si>
    <t>5,991 </t>
  </si>
  <si>
    <t>5,760 </t>
  </si>
  <si>
    <t>Cash, cash equivalents, and restricted cash and cash equivalents, ending balances</t>
  </si>
  <si>
    <t>Supplemental cash flow disclosure:</t>
  </si>
  <si>
    <t>Cash paid for income taxes, net</t>
  </si>
  <si>
    <t>43,369 </t>
  </si>
  <si>
    <t>26,102 </t>
  </si>
  <si>
    <t>18,679 </t>
  </si>
  <si>
    <t>Fiscal Period: September</t>
  </si>
  <si>
    <r>
      <t xml:space="preserve">Net sales </t>
    </r>
    <r>
      <rPr>
        <sz val="9"/>
        <color theme="1"/>
        <rFont val="Arial"/>
        <family val="2"/>
      </rPr>
      <t>1</t>
    </r>
  </si>
  <si>
    <t>Change</t>
  </si>
  <si>
    <t>-</t>
  </si>
  <si>
    <r>
      <t xml:space="preserve">EBITDA </t>
    </r>
    <r>
      <rPr>
        <sz val="9"/>
        <color theme="1"/>
        <rFont val="Arial"/>
        <family val="2"/>
      </rPr>
      <t>1</t>
    </r>
  </si>
  <si>
    <r>
      <t xml:space="preserve">EBIT </t>
    </r>
    <r>
      <rPr>
        <sz val="9"/>
        <color theme="1"/>
        <rFont val="Arial"/>
        <family val="2"/>
      </rPr>
      <t>1</t>
    </r>
  </si>
  <si>
    <r>
      <t xml:space="preserve">Interest Paid </t>
    </r>
    <r>
      <rPr>
        <sz val="9"/>
        <color theme="1"/>
        <rFont val="Arial"/>
        <family val="2"/>
      </rPr>
      <t>1</t>
    </r>
  </si>
  <si>
    <r>
      <t xml:space="preserve">Earnings before Tax (EBT) </t>
    </r>
    <r>
      <rPr>
        <sz val="9"/>
        <color theme="1"/>
        <rFont val="Arial"/>
        <family val="2"/>
      </rPr>
      <t>1</t>
    </r>
  </si>
  <si>
    <r>
      <t xml:space="preserve">Net income </t>
    </r>
    <r>
      <rPr>
        <sz val="9"/>
        <color theme="1"/>
        <rFont val="Arial"/>
        <family val="2"/>
      </rPr>
      <t>1</t>
    </r>
  </si>
  <si>
    <t>https://www.marketscreener.com/quote/stock/APPLE-INC-126415778/finances/</t>
  </si>
  <si>
    <t>EBITDA</t>
  </si>
  <si>
    <t>Interest Paid</t>
  </si>
  <si>
    <t>Earnings before Tax (EBT)</t>
  </si>
  <si>
    <t>2029E</t>
  </si>
  <si>
    <t>2030E</t>
  </si>
  <si>
    <t>2031E</t>
  </si>
  <si>
    <t>Revenue 2031</t>
  </si>
  <si>
    <t>Units: $ in millions, except percentages and beta</t>
  </si>
  <si>
    <t>WACC = % of equity x cost of equity + % of debt x cost of debt x (1- Tax Rate)</t>
  </si>
  <si>
    <t xml:space="preserve">Cost of equity = Risk free rate + Beta x Market Risk Premium </t>
  </si>
  <si>
    <t>Market Cap ($mm)</t>
  </si>
  <si>
    <t>% of Equity</t>
  </si>
  <si>
    <t>Cost of Equity</t>
  </si>
  <si>
    <t>Risk Free Rate</t>
  </si>
  <si>
    <t>Beta</t>
  </si>
  <si>
    <t>Market Risk Premium</t>
  </si>
  <si>
    <t>Debt ($mm)</t>
  </si>
  <si>
    <t>% of Debt</t>
  </si>
  <si>
    <t>Cost of Debt</t>
  </si>
  <si>
    <t>Tax Rate</t>
  </si>
  <si>
    <t>Total Capital ($mm)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</si>
</sst>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£&quot;* #,##0.00_);_(&quot;£&quot;* \(#,##0.00\);_(&quot;£&quot;* &quot;-&quot;??_);_(@_)"/>
    <numFmt numFmtId="43" formatCode="_(* #,##0.00_);_(* \(#,##0.00\);_(* &quot;-&quot;??_);_(@_)"/>
    <numFmt numFmtId="164" formatCode="[$$-409]#,##0.00"/>
    <numFmt numFmtId="165" formatCode="0.0%"/>
    <numFmt numFmtId="166" formatCode="[$$-409]#,##0.00_);\([$$-409]#,##0.00\)"/>
  </numFmts>
  <fonts count="3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4"/>
      <color theme="1"/>
      <name val="Aptos Narrow"/>
      <scheme val="minor"/>
    </font>
    <font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b/>
      <u/>
      <sz val="12"/>
      <color theme="1"/>
      <name val="Aptos Narrow"/>
      <scheme val="minor"/>
    </font>
    <font>
      <b/>
      <sz val="12"/>
      <color theme="1"/>
      <name val="Aptos Narrow"/>
      <scheme val="minor"/>
    </font>
    <font>
      <sz val="12"/>
      <color rgb="FF92D050"/>
      <name val="Aptos Narrow"/>
      <scheme val="minor"/>
    </font>
    <font>
      <sz val="12"/>
      <color rgb="FFFF0000"/>
      <name val="Aptos Narrow"/>
      <scheme val="minor"/>
    </font>
    <font>
      <sz val="12"/>
      <color rgb="FF92D050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color theme="8" tint="-0.249977111117893"/>
      <name val="Aptos Narrow"/>
      <scheme val="minor"/>
    </font>
    <font>
      <sz val="12"/>
      <color rgb="FF000000"/>
      <name val="Aptos Narrow"/>
      <scheme val="minor"/>
    </font>
    <font>
      <sz val="12"/>
      <color theme="8" tint="-0.249977111117893"/>
      <name val="Aptos Narrow"/>
      <family val="2"/>
      <scheme val="minor"/>
    </font>
    <font>
      <b/>
      <sz val="10"/>
      <color rgb="FF000000"/>
      <name val="Tahoma"/>
      <family val="2"/>
    </font>
    <font>
      <sz val="10"/>
      <color rgb="FF000000"/>
      <name val="Tahoma"/>
      <family val="2"/>
    </font>
    <font>
      <sz val="14"/>
      <color rgb="FF000000"/>
      <name val="Times"/>
    </font>
    <font>
      <sz val="12"/>
      <color theme="1"/>
      <name val="Times"/>
    </font>
    <font>
      <b/>
      <sz val="8"/>
      <color rgb="FF000000"/>
      <name val="Helvetica"/>
      <family val="2"/>
    </font>
    <font>
      <sz val="9"/>
      <color rgb="FF000000"/>
      <name val="Helvetica"/>
      <family val="2"/>
    </font>
    <font>
      <b/>
      <sz val="9"/>
      <color rgb="FF000000"/>
      <name val="Helvetica"/>
      <family val="2"/>
    </font>
    <font>
      <b/>
      <sz val="12"/>
      <color rgb="FF000000"/>
      <name val="Aptos Narrow"/>
      <scheme val="minor"/>
    </font>
    <font>
      <sz val="8.5"/>
      <color rgb="FF000000"/>
      <name val="Helvetica"/>
      <family val="2"/>
    </font>
    <font>
      <b/>
      <sz val="12"/>
      <color theme="1"/>
      <name val="Aptos Narrow"/>
      <family val="2"/>
      <scheme val="minor"/>
    </font>
    <font>
      <i/>
      <sz val="12"/>
      <color rgb="FF5C5C5C"/>
      <name val="Arial"/>
      <family val="2"/>
    </font>
    <font>
      <b/>
      <sz val="12"/>
      <color rgb="FF262626"/>
      <name val="Arial"/>
      <family val="2"/>
    </font>
    <font>
      <sz val="12"/>
      <color theme="1"/>
      <name val="Arial"/>
      <family val="2"/>
    </font>
    <font>
      <sz val="9"/>
      <color theme="1"/>
      <name val="Arial"/>
      <family val="2"/>
    </font>
    <font>
      <i/>
      <sz val="11"/>
      <color rgb="FF5C5C5C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DD7F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90">
    <xf numFmtId="0" fontId="0" fillId="0" borderId="0" xfId="0"/>
    <xf numFmtId="0" fontId="4" fillId="0" borderId="0" xfId="0" applyFont="1"/>
    <xf numFmtId="0" fontId="5" fillId="0" borderId="0" xfId="0" applyFont="1"/>
    <xf numFmtId="0" fontId="5" fillId="2" borderId="1" xfId="0" applyFont="1" applyFill="1" applyBorder="1" applyAlignment="1">
      <alignment horizontal="center"/>
    </xf>
    <xf numFmtId="164" fontId="0" fillId="0" borderId="0" xfId="0" applyNumberFormat="1" applyAlignment="1">
      <alignment horizontal="center"/>
    </xf>
    <xf numFmtId="14" fontId="5" fillId="2" borderId="1" xfId="0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165" fontId="0" fillId="0" borderId="0" xfId="0" applyNumberFormat="1" applyAlignment="1">
      <alignment horizontal="center"/>
    </xf>
    <xf numFmtId="0" fontId="6" fillId="3" borderId="0" xfId="0" applyFont="1" applyFill="1"/>
    <xf numFmtId="0" fontId="3" fillId="3" borderId="0" xfId="0" applyFont="1" applyFill="1"/>
    <xf numFmtId="0" fontId="0" fillId="3" borderId="0" xfId="0" applyFill="1"/>
    <xf numFmtId="0" fontId="7" fillId="0" borderId="0" xfId="0" applyFont="1"/>
    <xf numFmtId="0" fontId="0" fillId="2" borderId="1" xfId="0" applyFill="1" applyBorder="1"/>
    <xf numFmtId="165" fontId="0" fillId="2" borderId="1" xfId="0" applyNumberFormat="1" applyFill="1" applyBorder="1"/>
    <xf numFmtId="165" fontId="0" fillId="2" borderId="1" xfId="3" applyNumberFormat="1" applyFont="1" applyFill="1" applyBorder="1"/>
    <xf numFmtId="10" fontId="0" fillId="2" borderId="1" xfId="0" applyNumberFormat="1" applyFill="1" applyBorder="1"/>
    <xf numFmtId="0" fontId="6" fillId="3" borderId="0" xfId="0" applyFont="1" applyFill="1" applyAlignment="1">
      <alignment horizontal="center" vertical="center"/>
    </xf>
    <xf numFmtId="0" fontId="8" fillId="0" borderId="0" xfId="0" applyFont="1" applyAlignment="1">
      <alignment horizontal="center" vertical="center"/>
    </xf>
    <xf numFmtId="39" fontId="9" fillId="0" borderId="0" xfId="0" applyNumberFormat="1" applyFont="1" applyAlignment="1">
      <alignment horizontal="center" vertical="center"/>
    </xf>
    <xf numFmtId="39" fontId="10" fillId="0" borderId="0" xfId="0" applyNumberFormat="1" applyFont="1" applyAlignment="1">
      <alignment horizontal="center"/>
    </xf>
    <xf numFmtId="0" fontId="5" fillId="0" borderId="0" xfId="0" applyFont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/>
    </xf>
    <xf numFmtId="165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39" fontId="11" fillId="0" borderId="0" xfId="0" applyNumberFormat="1" applyFont="1" applyAlignment="1">
      <alignment horizontal="center" vertical="center"/>
    </xf>
    <xf numFmtId="0" fontId="6" fillId="3" borderId="0" xfId="0" applyFont="1" applyFill="1" applyAlignment="1">
      <alignment horizontal="center"/>
    </xf>
    <xf numFmtId="0" fontId="8" fillId="0" borderId="0" xfId="0" applyFont="1"/>
    <xf numFmtId="37" fontId="2" fillId="0" borderId="0" xfId="0" applyNumberFormat="1" applyFont="1" applyAlignment="1">
      <alignment horizontal="center" vertical="center"/>
    </xf>
    <xf numFmtId="37" fontId="11" fillId="0" borderId="0" xfId="0" applyNumberFormat="1" applyFont="1" applyAlignment="1">
      <alignment horizontal="center" vertical="center"/>
    </xf>
    <xf numFmtId="0" fontId="12" fillId="0" borderId="0" xfId="0" applyFont="1"/>
    <xf numFmtId="39" fontId="13" fillId="0" borderId="0" xfId="0" applyNumberFormat="1" applyFont="1" applyAlignment="1">
      <alignment horizontal="center" vertical="center"/>
    </xf>
    <xf numFmtId="43" fontId="0" fillId="0" borderId="0" xfId="1" applyFont="1" applyAlignment="1">
      <alignment horizontal="center"/>
    </xf>
    <xf numFmtId="10" fontId="5" fillId="0" borderId="0" xfId="0" applyNumberFormat="1" applyFont="1" applyAlignment="1">
      <alignment horizontal="center" vertical="center"/>
    </xf>
    <xf numFmtId="165" fontId="0" fillId="2" borderId="1" xfId="0" applyNumberFormat="1" applyFill="1" applyBorder="1" applyAlignment="1">
      <alignment horizontal="center"/>
    </xf>
    <xf numFmtId="165" fontId="5" fillId="2" borderId="1" xfId="0" applyNumberFormat="1" applyFont="1" applyFill="1" applyBorder="1" applyAlignment="1">
      <alignment horizontal="center"/>
    </xf>
    <xf numFmtId="165" fontId="14" fillId="2" borderId="1" xfId="0" applyNumberFormat="1" applyFont="1" applyFill="1" applyBorder="1" applyAlignment="1">
      <alignment horizontal="center"/>
    </xf>
    <xf numFmtId="39" fontId="15" fillId="0" borderId="0" xfId="0" applyNumberFormat="1" applyFont="1" applyAlignment="1">
      <alignment horizontal="center"/>
    </xf>
    <xf numFmtId="43" fontId="0" fillId="0" borderId="0" xfId="0" applyNumberFormat="1" applyAlignment="1">
      <alignment horizontal="center"/>
    </xf>
    <xf numFmtId="165" fontId="0" fillId="0" borderId="0" xfId="3" applyNumberFormat="1" applyFont="1" applyAlignment="1">
      <alignment horizontal="center"/>
    </xf>
    <xf numFmtId="0" fontId="12" fillId="0" borderId="0" xfId="0" applyFont="1" applyAlignment="1">
      <alignment horizontal="center"/>
    </xf>
    <xf numFmtId="0" fontId="0" fillId="0" borderId="2" xfId="0" applyBorder="1"/>
    <xf numFmtId="0" fontId="0" fillId="0" borderId="3" xfId="0" applyBorder="1"/>
    <xf numFmtId="39" fontId="0" fillId="0" borderId="3" xfId="0" applyNumberFormat="1" applyBorder="1"/>
    <xf numFmtId="43" fontId="0" fillId="0" borderId="3" xfId="0" applyNumberFormat="1" applyBorder="1"/>
    <xf numFmtId="37" fontId="15" fillId="0" borderId="0" xfId="0" applyNumberFormat="1" applyFont="1" applyAlignment="1">
      <alignment horizontal="center"/>
    </xf>
    <xf numFmtId="43" fontId="0" fillId="0" borderId="0" xfId="0" applyNumberFormat="1"/>
    <xf numFmtId="2" fontId="0" fillId="0" borderId="0" xfId="0" applyNumberFormat="1" applyAlignment="1">
      <alignment horizontal="center"/>
    </xf>
    <xf numFmtId="2" fontId="0" fillId="0" borderId="0" xfId="0" applyNumberFormat="1"/>
    <xf numFmtId="43" fontId="0" fillId="0" borderId="0" xfId="0" applyNumberFormat="1" applyAlignment="1">
      <alignment horizontal="center" vertical="center"/>
    </xf>
    <xf numFmtId="43" fontId="0" fillId="0" borderId="0" xfId="1" applyFont="1" applyAlignment="1">
      <alignment horizontal="center" vertical="center"/>
    </xf>
    <xf numFmtId="164" fontId="0" fillId="0" borderId="0" xfId="2" applyNumberFormat="1" applyFont="1" applyAlignment="1">
      <alignment horizontal="center" vertical="center"/>
    </xf>
    <xf numFmtId="0" fontId="20" fillId="0" borderId="0" xfId="0" applyFont="1"/>
    <xf numFmtId="0" fontId="19" fillId="0" borderId="0" xfId="0" applyFont="1"/>
    <xf numFmtId="0" fontId="21" fillId="0" borderId="0" xfId="0" applyFont="1"/>
    <xf numFmtId="0" fontId="22" fillId="0" borderId="0" xfId="0" applyFont="1"/>
    <xf numFmtId="0" fontId="18" fillId="0" borderId="0" xfId="0" applyFont="1"/>
    <xf numFmtId="0" fontId="23" fillId="0" borderId="0" xfId="0" applyFont="1"/>
    <xf numFmtId="0" fontId="23" fillId="0" borderId="0" xfId="0" applyFont="1" applyAlignment="1">
      <alignment horizontal="right"/>
    </xf>
    <xf numFmtId="0" fontId="14" fillId="0" borderId="0" xfId="0" applyFont="1" applyAlignment="1">
      <alignment horizontal="right"/>
    </xf>
    <xf numFmtId="3" fontId="14" fillId="0" borderId="0" xfId="0" applyNumberFormat="1" applyFont="1" applyAlignment="1">
      <alignment horizontal="right"/>
    </xf>
    <xf numFmtId="3" fontId="21" fillId="0" borderId="0" xfId="0" applyNumberFormat="1" applyFont="1"/>
    <xf numFmtId="0" fontId="24" fillId="0" borderId="0" xfId="0" applyFont="1"/>
    <xf numFmtId="3" fontId="24" fillId="0" borderId="0" xfId="0" applyNumberFormat="1" applyFont="1"/>
    <xf numFmtId="0" fontId="24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3" fontId="24" fillId="0" borderId="0" xfId="0" applyNumberFormat="1" applyFont="1" applyAlignment="1">
      <alignment horizontal="center"/>
    </xf>
    <xf numFmtId="0" fontId="26" fillId="0" borderId="0" xfId="0" applyFont="1"/>
    <xf numFmtId="0" fontId="27" fillId="0" borderId="0" xfId="0" applyFont="1"/>
    <xf numFmtId="0" fontId="28" fillId="0" borderId="0" xfId="0" applyFont="1"/>
    <xf numFmtId="3" fontId="0" fillId="0" borderId="0" xfId="0" applyNumberFormat="1"/>
    <xf numFmtId="3" fontId="28" fillId="0" borderId="0" xfId="0" applyNumberFormat="1" applyFont="1"/>
    <xf numFmtId="0" fontId="30" fillId="0" borderId="0" xfId="0" applyFont="1"/>
    <xf numFmtId="10" fontId="0" fillId="0" borderId="0" xfId="0" applyNumberFormat="1"/>
    <xf numFmtId="10" fontId="30" fillId="0" borderId="0" xfId="0" applyNumberFormat="1" applyFont="1"/>
    <xf numFmtId="9" fontId="0" fillId="0" borderId="0" xfId="0" applyNumberFormat="1"/>
    <xf numFmtId="9" fontId="30" fillId="0" borderId="0" xfId="0" applyNumberFormat="1" applyFont="1"/>
    <xf numFmtId="0" fontId="25" fillId="0" borderId="0" xfId="0" applyFont="1"/>
    <xf numFmtId="0" fontId="9" fillId="0" borderId="0" xfId="0" applyFont="1" applyAlignment="1">
      <alignment horizontal="center"/>
    </xf>
    <xf numFmtId="0" fontId="14" fillId="0" borderId="0" xfId="2" applyNumberFormat="1" applyFont="1" applyAlignment="1">
      <alignment horizontal="right"/>
    </xf>
    <xf numFmtId="0" fontId="5" fillId="0" borderId="0" xfId="0" applyFont="1" applyAlignment="1">
      <alignment horizontal="center"/>
    </xf>
    <xf numFmtId="39" fontId="10" fillId="4" borderId="0" xfId="0" applyNumberFormat="1" applyFont="1" applyFill="1"/>
    <xf numFmtId="165" fontId="0" fillId="0" borderId="0" xfId="0" applyNumberFormat="1"/>
    <xf numFmtId="43" fontId="0" fillId="0" borderId="0" xfId="1" applyFont="1"/>
    <xf numFmtId="165" fontId="0" fillId="0" borderId="0" xfId="3" applyNumberFormat="1" applyFont="1"/>
    <xf numFmtId="3" fontId="0" fillId="2" borderId="1" xfId="0" applyNumberFormat="1" applyFill="1" applyBorder="1"/>
    <xf numFmtId="39" fontId="0" fillId="0" borderId="0" xfId="0" applyNumberFormat="1"/>
    <xf numFmtId="166" fontId="0" fillId="0" borderId="0" xfId="2" applyNumberFormat="1" applyFont="1"/>
    <xf numFmtId="9" fontId="0" fillId="0" borderId="0" xfId="3" applyFont="1"/>
    <xf numFmtId="0" fontId="19" fillId="0" borderId="0" xfId="0" applyFont="1"/>
  </cellXfs>
  <cellStyles count="4">
    <cellStyle name="Comma" xfId="1" builtinId="3"/>
    <cellStyle name="Currency" xfId="2" builtinId="4"/>
    <cellStyle name="Normal" xfId="0" builtinId="0"/>
    <cellStyle name="Per 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2538F59-C8E9-E747-9F30-B1757B55892E}">
  <we:reference id="WA200010215" version="2.0.0.1" store="Omex" storeType="OMEX"/>
  <we:alternateReferences>
    <we:reference id="WA200010215" version="2.0.0.1" store="WA200010215" storeType="OMEX"/>
  </we:alternateReferences>
  <we:properties>
    <we:property name="bps.codex_control.document_id" value="&quot;fa65bd56-0b69-4be9-b28b-b8fd792ac6f4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E054A1-12E5-A543-8981-4FE92CB8560C}">
  <dimension ref="B2:N80"/>
  <sheetViews>
    <sheetView showGridLines="0" tabSelected="1" workbookViewId="0">
      <selection activeCell="C14" sqref="C14"/>
    </sheetView>
  </sheetViews>
  <sheetFormatPr baseColWidth="10" defaultRowHeight="16"/>
  <cols>
    <col min="2" max="2" width="26.6640625" bestFit="1" customWidth="1"/>
    <col min="5" max="5" width="17.1640625" bestFit="1" customWidth="1"/>
    <col min="7" max="7" width="11.5" bestFit="1" customWidth="1"/>
    <col min="8" max="8" width="12.5" bestFit="1" customWidth="1"/>
    <col min="9" max="10" width="11.5" bestFit="1" customWidth="1"/>
    <col min="11" max="11" width="13.83203125" bestFit="1" customWidth="1"/>
    <col min="12" max="12" width="13" bestFit="1" customWidth="1"/>
  </cols>
  <sheetData>
    <row r="2" spans="2:12" ht="19">
      <c r="B2" s="1" t="s">
        <v>0</v>
      </c>
    </row>
    <row r="3" spans="2:12" ht="19">
      <c r="B3" s="1"/>
    </row>
    <row r="4" spans="2:12">
      <c r="B4" s="2" t="s">
        <v>1</v>
      </c>
      <c r="C4" s="3" t="s">
        <v>2</v>
      </c>
      <c r="E4" t="s">
        <v>3</v>
      </c>
      <c r="F4" s="87">
        <f ca="1">L80</f>
        <v>246.7024449670605</v>
      </c>
      <c r="G4" s="4"/>
    </row>
    <row r="5" spans="2:12">
      <c r="B5" s="2" t="s">
        <v>5</v>
      </c>
      <c r="C5" s="5">
        <v>46291</v>
      </c>
      <c r="E5" t="s">
        <v>4</v>
      </c>
      <c r="F5" s="87">
        <f>334.8</f>
        <v>334.8</v>
      </c>
      <c r="G5" s="6"/>
    </row>
    <row r="6" spans="2:12">
      <c r="E6" t="s">
        <v>6</v>
      </c>
      <c r="F6" s="88">
        <f ca="1">F4/F5-1</f>
        <v>-0.26313487166349914</v>
      </c>
      <c r="G6" s="7"/>
    </row>
    <row r="8" spans="2:12">
      <c r="B8" s="8" t="s">
        <v>7</v>
      </c>
      <c r="C8" s="9"/>
      <c r="D8" s="9"/>
      <c r="E8" s="9"/>
      <c r="F8" s="9"/>
      <c r="G8" s="9"/>
      <c r="H8" s="9"/>
      <c r="I8" s="9"/>
      <c r="J8" s="9"/>
      <c r="K8" s="10"/>
      <c r="L8" s="10"/>
    </row>
    <row r="9" spans="2:12">
      <c r="B9" s="11" t="s">
        <v>8</v>
      </c>
      <c r="C9" s="11"/>
      <c r="D9" s="11"/>
      <c r="E9" s="11" t="s">
        <v>9</v>
      </c>
      <c r="F9" s="11"/>
      <c r="G9" s="11"/>
      <c r="H9" s="11" t="s">
        <v>10</v>
      </c>
      <c r="I9" s="11"/>
      <c r="J9" s="11"/>
      <c r="K9" s="11" t="s">
        <v>11</v>
      </c>
    </row>
    <row r="10" spans="2:12">
      <c r="B10" t="s">
        <v>12</v>
      </c>
      <c r="C10" s="12">
        <v>2</v>
      </c>
      <c r="E10" t="s">
        <v>13</v>
      </c>
      <c r="F10" s="13">
        <v>0.8</v>
      </c>
      <c r="K10" t="s">
        <v>13</v>
      </c>
      <c r="L10" s="13">
        <v>1.2</v>
      </c>
    </row>
    <row r="11" spans="2:12">
      <c r="B11" t="s">
        <v>14</v>
      </c>
      <c r="C11" s="12">
        <v>2</v>
      </c>
      <c r="E11" t="s">
        <v>250</v>
      </c>
      <c r="F11" s="13">
        <v>0.02</v>
      </c>
      <c r="H11" t="s">
        <v>250</v>
      </c>
      <c r="I11" s="13">
        <v>0.05</v>
      </c>
      <c r="K11" t="s">
        <v>250</v>
      </c>
      <c r="L11" s="13">
        <v>0.08</v>
      </c>
    </row>
    <row r="12" spans="2:12">
      <c r="B12" t="s">
        <v>15</v>
      </c>
      <c r="C12" s="12">
        <v>3</v>
      </c>
      <c r="E12" t="s">
        <v>16</v>
      </c>
      <c r="F12" s="13">
        <v>0.9</v>
      </c>
      <c r="K12" t="s">
        <v>16</v>
      </c>
      <c r="L12" s="13">
        <v>1.1000000000000001</v>
      </c>
    </row>
    <row r="13" spans="2:12">
      <c r="B13" t="s">
        <v>17</v>
      </c>
      <c r="C13" s="12">
        <v>2</v>
      </c>
    </row>
    <row r="14" spans="2:12">
      <c r="H14" t="s">
        <v>18</v>
      </c>
      <c r="I14" s="13">
        <v>0.16500000000000001</v>
      </c>
    </row>
    <row r="15" spans="2:12">
      <c r="B15" t="s">
        <v>15</v>
      </c>
      <c r="C15" s="14">
        <f>CHOOSE($C$12,F15,I15,L15)</f>
        <v>7.4999999999999997E-2</v>
      </c>
      <c r="E15" t="s">
        <v>15</v>
      </c>
      <c r="F15" s="14">
        <f>I15+0.5%</f>
        <v>9.9052029622074225E-2</v>
      </c>
      <c r="H15" t="s">
        <v>15</v>
      </c>
      <c r="I15" s="14">
        <f>WACC!E22</f>
        <v>9.4052029622074221E-2</v>
      </c>
      <c r="K15" t="s">
        <v>15</v>
      </c>
      <c r="L15" s="13">
        <v>7.4999999999999997E-2</v>
      </c>
    </row>
    <row r="16" spans="2:12">
      <c r="B16" t="s">
        <v>17</v>
      </c>
      <c r="C16" s="14">
        <f>CHOOSE($C$13,F16,I16,L16)</f>
        <v>2.5000000000000001E-2</v>
      </c>
      <c r="E16" t="s">
        <v>17</v>
      </c>
      <c r="F16" s="13">
        <v>0.02</v>
      </c>
      <c r="H16" t="s">
        <v>17</v>
      </c>
      <c r="I16" s="15">
        <v>2.5000000000000001E-2</v>
      </c>
      <c r="K16" t="s">
        <v>17</v>
      </c>
      <c r="L16" s="13">
        <v>0.03</v>
      </c>
    </row>
    <row r="18" spans="2:14">
      <c r="B18" s="8" t="s">
        <v>19</v>
      </c>
      <c r="C18" s="9"/>
      <c r="D18" s="16">
        <v>2023</v>
      </c>
      <c r="E18" s="16">
        <v>2024</v>
      </c>
      <c r="F18" s="16">
        <v>2025</v>
      </c>
      <c r="G18" s="16" t="s">
        <v>20</v>
      </c>
      <c r="H18" s="16" t="s">
        <v>21</v>
      </c>
      <c r="I18" s="16" t="s">
        <v>22</v>
      </c>
      <c r="J18" s="16" t="s">
        <v>247</v>
      </c>
      <c r="K18" s="16" t="s">
        <v>248</v>
      </c>
      <c r="L18" s="16" t="s">
        <v>249</v>
      </c>
      <c r="M18" s="17"/>
      <c r="N18" s="17"/>
    </row>
    <row r="19" spans="2:14">
      <c r="B19" t="s">
        <v>12</v>
      </c>
      <c r="D19" s="18">
        <f>'Income Statement'!D4</f>
        <v>383285</v>
      </c>
      <c r="E19" s="18">
        <f>'Income Statement'!C4</f>
        <v>391035</v>
      </c>
      <c r="F19" s="18">
        <f>'Income Statement'!B4</f>
        <v>416161</v>
      </c>
      <c r="G19" s="19">
        <f>Estimates!B20</f>
        <v>477833</v>
      </c>
      <c r="H19" s="19">
        <f>Estimates!C20</f>
        <v>527946</v>
      </c>
      <c r="I19" s="19">
        <f>Estimates!D20</f>
        <v>571023</v>
      </c>
      <c r="J19" s="81">
        <f>Estimates!E20</f>
        <v>608140</v>
      </c>
      <c r="K19" s="81">
        <f>Estimates!F20</f>
        <v>638547</v>
      </c>
      <c r="L19" s="81">
        <f>Estimates!G20</f>
        <v>664089</v>
      </c>
      <c r="M19" s="2"/>
      <c r="N19" s="2"/>
    </row>
    <row r="20" spans="2:14">
      <c r="B20" t="s">
        <v>23</v>
      </c>
      <c r="D20" s="20" t="s">
        <v>237</v>
      </c>
      <c r="E20" s="21">
        <f>E19/D19-1</f>
        <v>2.021994077514111E-2</v>
      </c>
      <c r="F20" s="21">
        <f>F19/E19-1</f>
        <v>6.425511782832749E-2</v>
      </c>
      <c r="G20" s="21">
        <f t="shared" ref="G20:L20" si="0">G19/F19-1</f>
        <v>0.14819264659590869</v>
      </c>
      <c r="H20" s="21">
        <f t="shared" si="0"/>
        <v>0.10487555275587912</v>
      </c>
      <c r="I20" s="21">
        <f t="shared" si="0"/>
        <v>8.1593572069870834E-2</v>
      </c>
      <c r="J20" s="21">
        <f t="shared" si="0"/>
        <v>6.5000884377687029E-2</v>
      </c>
      <c r="K20" s="21">
        <f t="shared" si="0"/>
        <v>5.0000000000000044E-2</v>
      </c>
      <c r="L20" s="21">
        <f t="shared" si="0"/>
        <v>4.0000187926652275E-2</v>
      </c>
      <c r="M20" s="2"/>
      <c r="N20" s="2"/>
    </row>
    <row r="21" spans="2:14">
      <c r="D21" s="20"/>
      <c r="E21" s="20"/>
      <c r="F21" s="20"/>
      <c r="G21" s="22"/>
      <c r="H21" s="22"/>
      <c r="I21" s="78"/>
      <c r="J21" s="2" t="s">
        <v>24</v>
      </c>
      <c r="K21" s="2"/>
      <c r="L21" s="2"/>
      <c r="M21" s="2"/>
      <c r="N21" s="2"/>
    </row>
    <row r="22" spans="2:14">
      <c r="B22" t="s">
        <v>14</v>
      </c>
      <c r="D22" s="18">
        <f>'Income Statement'!D11</f>
        <v>114301</v>
      </c>
      <c r="E22" s="18">
        <f>'Income Statement'!C11</f>
        <v>123216</v>
      </c>
      <c r="F22" s="18">
        <f>'Income Statement'!B11</f>
        <v>133050</v>
      </c>
      <c r="G22" s="19">
        <f>Estimates!B24</f>
        <v>156384</v>
      </c>
      <c r="H22" s="19">
        <f>Estimates!C24</f>
        <v>166731</v>
      </c>
      <c r="I22" s="19">
        <f>Estimates!D24</f>
        <v>186085</v>
      </c>
      <c r="J22" s="81">
        <f>Estimates!E24</f>
        <v>198193</v>
      </c>
      <c r="K22" s="81">
        <f>Estimates!F24</f>
        <v>208109</v>
      </c>
      <c r="L22" s="81">
        <f>Estimates!G24</f>
        <v>216447</v>
      </c>
      <c r="M22" s="2"/>
      <c r="N22" s="2"/>
    </row>
    <row r="23" spans="2:14">
      <c r="B23" t="s">
        <v>25</v>
      </c>
      <c r="D23" s="23">
        <f>D22/D19</f>
        <v>0.29821412265024722</v>
      </c>
      <c r="E23" s="23">
        <f t="shared" ref="E23:F23" si="1">E22/E19</f>
        <v>0.31510222870075566</v>
      </c>
      <c r="F23" s="23">
        <f t="shared" si="1"/>
        <v>0.31970799762591884</v>
      </c>
      <c r="G23" s="23">
        <f t="shared" ref="G23" si="2">G22/G19</f>
        <v>0.32727752164459128</v>
      </c>
      <c r="H23" s="23">
        <f t="shared" ref="H23" si="3">H22/H19</f>
        <v>0.31581070791330934</v>
      </c>
      <c r="I23" s="23">
        <f t="shared" ref="I23" si="4">I22/I19</f>
        <v>0.32588004336077531</v>
      </c>
      <c r="J23" s="23">
        <f t="shared" ref="J23" si="5">J22/J19</f>
        <v>0.325900286118328</v>
      </c>
      <c r="K23" s="23">
        <f t="shared" ref="K23" si="6">K22/K19</f>
        <v>0.32591023057034174</v>
      </c>
      <c r="L23" s="23">
        <f t="shared" ref="L23" si="7">L22/L19</f>
        <v>0.32593071109444666</v>
      </c>
      <c r="M23" s="2"/>
      <c r="N23" s="2"/>
    </row>
    <row r="24" spans="2:14">
      <c r="D24" s="24"/>
      <c r="E24" s="24"/>
      <c r="F24" s="24"/>
      <c r="G24" s="22"/>
      <c r="H24" s="22"/>
      <c r="I24" s="78"/>
      <c r="J24" s="2"/>
      <c r="K24" s="2"/>
      <c r="L24" s="2"/>
      <c r="M24" s="2"/>
      <c r="N24" s="2"/>
    </row>
    <row r="25" spans="2:14">
      <c r="B25" t="s">
        <v>18</v>
      </c>
      <c r="D25" s="25">
        <f>'Income Statement'!D14</f>
        <v>16741</v>
      </c>
      <c r="E25" s="25">
        <f>'Income Statement'!C14</f>
        <v>29749</v>
      </c>
      <c r="F25" s="25">
        <f>'Income Statement'!B14</f>
        <v>20719</v>
      </c>
      <c r="G25" s="19"/>
      <c r="H25" s="19"/>
      <c r="I25" s="19"/>
      <c r="J25" s="2"/>
      <c r="K25" s="2"/>
      <c r="L25" s="2"/>
      <c r="M25" s="2"/>
      <c r="N25" s="2"/>
    </row>
    <row r="26" spans="2:14">
      <c r="B26" t="s">
        <v>25</v>
      </c>
      <c r="D26" s="23">
        <f>D25/D19</f>
        <v>4.3677681098921166E-2</v>
      </c>
      <c r="E26" s="23">
        <f>E25/E19</f>
        <v>7.6077588962624829E-2</v>
      </c>
      <c r="F26" s="23">
        <f>F25/F19</f>
        <v>4.9786020314253381E-2</v>
      </c>
      <c r="G26" s="23"/>
      <c r="H26" s="23"/>
      <c r="I26" s="23"/>
      <c r="J26" s="2"/>
      <c r="K26" s="2"/>
      <c r="L26" s="2"/>
      <c r="M26" s="2"/>
      <c r="N26" s="2"/>
    </row>
    <row r="27" spans="2:14">
      <c r="D27" s="24"/>
      <c r="E27" s="24"/>
      <c r="F27" s="24"/>
      <c r="I27" s="2"/>
      <c r="J27" s="2"/>
      <c r="K27" s="2"/>
      <c r="L27" s="2"/>
      <c r="M27" s="2"/>
      <c r="N27" s="2"/>
    </row>
    <row r="28" spans="2:14">
      <c r="B28" s="8" t="s">
        <v>26</v>
      </c>
      <c r="C28" s="9"/>
      <c r="D28" s="16">
        <v>2023</v>
      </c>
      <c r="E28" s="16">
        <v>2024</v>
      </c>
      <c r="F28" s="16">
        <v>2025</v>
      </c>
      <c r="G28" s="26">
        <f>F28+1</f>
        <v>2026</v>
      </c>
      <c r="H28" s="26">
        <f t="shared" ref="H28:I28" si="8">G28+1</f>
        <v>2027</v>
      </c>
      <c r="I28" s="26">
        <f t="shared" si="8"/>
        <v>2028</v>
      </c>
      <c r="J28" s="26">
        <v>2029</v>
      </c>
      <c r="K28" s="26">
        <v>2030</v>
      </c>
      <c r="L28" s="26">
        <v>2031</v>
      </c>
      <c r="M28" s="27"/>
      <c r="N28" s="27"/>
    </row>
    <row r="29" spans="2:14">
      <c r="B29" t="s">
        <v>27</v>
      </c>
      <c r="D29" s="28">
        <f>'Cash Flow'!F14</f>
        <v>11519</v>
      </c>
      <c r="E29" s="28">
        <f>'Cash Flow'!D14</f>
        <v>11445</v>
      </c>
      <c r="F29" s="28">
        <f>'Cash Flow'!B14</f>
        <v>11698</v>
      </c>
      <c r="I29" s="2"/>
      <c r="J29" s="2"/>
      <c r="K29" s="80"/>
      <c r="L29" s="80"/>
      <c r="M29" s="2"/>
      <c r="N29" s="2"/>
    </row>
    <row r="30" spans="2:14">
      <c r="B30" t="s">
        <v>25</v>
      </c>
      <c r="D30" s="23">
        <f>D29/D19</f>
        <v>3.0053354553400212E-2</v>
      </c>
      <c r="E30" s="23">
        <f t="shared" ref="E30:F30" si="9">E29/E19</f>
        <v>2.9268479803598143E-2</v>
      </c>
      <c r="F30" s="23">
        <f t="shared" si="9"/>
        <v>2.8109313462818475E-2</v>
      </c>
      <c r="I30" s="2"/>
      <c r="J30" s="2"/>
      <c r="K30" s="80"/>
      <c r="L30" s="80"/>
      <c r="M30" s="2"/>
      <c r="N30" s="2"/>
    </row>
    <row r="31" spans="2:14">
      <c r="D31" s="24"/>
      <c r="E31" s="24"/>
      <c r="F31" s="24"/>
      <c r="I31" s="2"/>
      <c r="J31" s="2"/>
      <c r="K31" s="80"/>
      <c r="L31" s="80"/>
      <c r="M31" s="2"/>
      <c r="N31" s="2"/>
    </row>
    <row r="32" spans="2:14">
      <c r="B32" t="s">
        <v>28</v>
      </c>
      <c r="D32" s="29">
        <v>10959</v>
      </c>
      <c r="E32" s="29">
        <v>9447</v>
      </c>
      <c r="F32" s="29">
        <v>12715</v>
      </c>
      <c r="I32" s="2"/>
      <c r="J32" s="2"/>
      <c r="K32" s="80"/>
      <c r="L32" s="80"/>
      <c r="M32" s="2"/>
      <c r="N32" s="2"/>
    </row>
    <row r="33" spans="2:14">
      <c r="B33" s="30" t="s">
        <v>25</v>
      </c>
      <c r="D33" s="23">
        <f>D32/D19</f>
        <v>2.859230076835775E-2</v>
      </c>
      <c r="E33" s="23">
        <f t="shared" ref="E33:F33" si="10">E32/E19</f>
        <v>2.415896275269477E-2</v>
      </c>
      <c r="F33" s="23">
        <f t="shared" si="10"/>
        <v>3.0553079216937677E-2</v>
      </c>
      <c r="I33" s="2"/>
      <c r="J33" s="2"/>
      <c r="K33" s="80"/>
      <c r="L33" s="80"/>
      <c r="M33" s="2"/>
      <c r="N33" s="2"/>
    </row>
    <row r="34" spans="2:14">
      <c r="D34" s="24"/>
      <c r="E34" s="24"/>
      <c r="F34" s="24"/>
      <c r="I34" s="2"/>
      <c r="J34" s="2"/>
      <c r="K34" s="80"/>
      <c r="L34" s="80"/>
      <c r="M34" s="2"/>
      <c r="N34" s="2"/>
    </row>
    <row r="35" spans="2:14">
      <c r="B35" t="s">
        <v>29</v>
      </c>
      <c r="D35" s="25">
        <f>'Cash Flow'!I17</f>
        <v>-5577</v>
      </c>
      <c r="E35" s="25">
        <f>'Cash Flow'!H17</f>
        <v>3651</v>
      </c>
      <c r="F35" s="25">
        <f>'Cash Flow'!G17</f>
        <v>-24900</v>
      </c>
      <c r="I35" s="2"/>
      <c r="J35" s="2"/>
      <c r="K35" s="80"/>
      <c r="L35" s="80"/>
      <c r="M35" s="2"/>
      <c r="N35" s="2"/>
    </row>
    <row r="36" spans="2:14">
      <c r="B36" s="30" t="s">
        <v>25</v>
      </c>
      <c r="D36" s="23">
        <f>D35/D19</f>
        <v>-1.4550530284253231E-2</v>
      </c>
      <c r="E36" s="23">
        <f>E35/E19</f>
        <v>9.3367601365606668E-3</v>
      </c>
      <c r="F36" s="23">
        <f>F35/F19</f>
        <v>-5.9832612858965642E-2</v>
      </c>
      <c r="I36" s="2"/>
      <c r="J36" s="2"/>
      <c r="K36" s="80"/>
      <c r="L36" s="80"/>
      <c r="M36" s="2"/>
      <c r="N36" s="2"/>
    </row>
    <row r="37" spans="2:14">
      <c r="B37" t="s">
        <v>30</v>
      </c>
      <c r="D37" s="24"/>
      <c r="E37" s="23">
        <f>E35/(E19-D19)</f>
        <v>0.4710967741935484</v>
      </c>
      <c r="F37" s="23">
        <f>F35/(F19-E19)</f>
        <v>-0.99100533312106975</v>
      </c>
      <c r="I37" s="2"/>
      <c r="J37" s="2"/>
      <c r="K37" s="80"/>
      <c r="L37" s="80"/>
      <c r="M37" s="2"/>
      <c r="N37" s="2"/>
    </row>
    <row r="38" spans="2:14">
      <c r="G38">
        <v>1</v>
      </c>
      <c r="H38">
        <v>2</v>
      </c>
      <c r="I38" s="2">
        <v>3</v>
      </c>
      <c r="J38">
        <v>4</v>
      </c>
      <c r="K38">
        <v>5</v>
      </c>
      <c r="L38" s="2">
        <v>6</v>
      </c>
      <c r="M38" s="2"/>
      <c r="N38" s="2"/>
    </row>
    <row r="39" spans="2:14">
      <c r="B39" s="8" t="s">
        <v>31</v>
      </c>
      <c r="C39" s="8"/>
      <c r="D39" s="16">
        <v>2023</v>
      </c>
      <c r="E39" s="16">
        <v>2024</v>
      </c>
      <c r="F39" s="16">
        <v>2025</v>
      </c>
      <c r="G39" s="26">
        <f>F39+1</f>
        <v>2026</v>
      </c>
      <c r="H39" s="26">
        <f t="shared" ref="H39:I39" si="11">G39+1</f>
        <v>2027</v>
      </c>
      <c r="I39" s="26">
        <f t="shared" si="11"/>
        <v>2028</v>
      </c>
      <c r="J39" s="26">
        <v>2029</v>
      </c>
      <c r="K39" s="26">
        <v>2030</v>
      </c>
      <c r="L39" s="26">
        <v>2031</v>
      </c>
      <c r="M39" s="27"/>
      <c r="N39" s="27"/>
    </row>
    <row r="40" spans="2:14">
      <c r="B40" t="s">
        <v>12</v>
      </c>
      <c r="D40" s="31">
        <f>D19</f>
        <v>383285</v>
      </c>
      <c r="E40" s="31">
        <f t="shared" ref="E40:F40" si="12">E19</f>
        <v>391035</v>
      </c>
      <c r="F40" s="31">
        <f t="shared" si="12"/>
        <v>416161</v>
      </c>
      <c r="G40" s="32">
        <f ca="1">F40*(1+G41)</f>
        <v>477832.99999999994</v>
      </c>
      <c r="H40" s="32">
        <f t="shared" ref="H40" ca="1" si="13">G40*(1+H41)</f>
        <v>527945.99999999988</v>
      </c>
      <c r="I40" s="32">
        <f ca="1">H40*(1+I41)</f>
        <v>571022.99999999988</v>
      </c>
      <c r="J40" s="32">
        <f ca="1">I40*(1+J41)</f>
        <v>611601.25420270243</v>
      </c>
      <c r="K40" s="32">
        <f ca="1">J40*(1+K41)</f>
        <v>648622.20634706307</v>
      </c>
      <c r="L40" s="32">
        <f ca="1">K40*(1+L41)</f>
        <v>681053.31666441623</v>
      </c>
      <c r="M40" s="2"/>
      <c r="N40" s="2"/>
    </row>
    <row r="41" spans="2:14">
      <c r="B41" t="s">
        <v>23</v>
      </c>
      <c r="D41" s="20" t="s">
        <v>237</v>
      </c>
      <c r="E41" s="21">
        <f>E40/D40-1</f>
        <v>2.021994077514111E-2</v>
      </c>
      <c r="F41" s="21">
        <f>F40/E40-1</f>
        <v>6.425511782832749E-2</v>
      </c>
      <c r="G41" s="7">
        <f ca="1">OFFSET(G41,$C$10,0)</f>
        <v>0.14819264659590869</v>
      </c>
      <c r="H41" s="7">
        <f t="shared" ref="H41:L41" ca="1" si="14">OFFSET(H41,$C$10,0)</f>
        <v>0.10487555275587912</v>
      </c>
      <c r="I41" s="7">
        <f t="shared" ca="1" si="14"/>
        <v>8.1593572069870834E-2</v>
      </c>
      <c r="J41" s="7">
        <f t="shared" ca="1" si="14"/>
        <v>7.1062381379913886E-2</v>
      </c>
      <c r="K41" s="7">
        <f t="shared" ca="1" si="14"/>
        <v>6.0531190689956944E-2</v>
      </c>
      <c r="L41" s="7">
        <f t="shared" ca="1" si="14"/>
        <v>0.05</v>
      </c>
      <c r="M41" s="2"/>
      <c r="N41" s="2"/>
    </row>
    <row r="42" spans="2:14">
      <c r="B42" t="s">
        <v>32</v>
      </c>
      <c r="D42" s="20"/>
      <c r="E42" s="33"/>
      <c r="F42" s="33"/>
      <c r="G42" s="34">
        <f>G43</f>
        <v>0.14819264659590869</v>
      </c>
      <c r="H42" s="34">
        <f>H43*$F$10</f>
        <v>8.3900442204703302E-2</v>
      </c>
      <c r="I42" s="34">
        <f t="shared" ref="I42" si="15">I43*$F$10</f>
        <v>6.5274857655896676E-2</v>
      </c>
      <c r="J42" s="34">
        <f>I42-($I$42-$L$42)/($L$39-$I$39)</f>
        <v>5.0183238437264452E-2</v>
      </c>
      <c r="K42" s="34">
        <f>J42-($I$42-$L$42)/($L$39-$I$39)</f>
        <v>3.5091619218632228E-2</v>
      </c>
      <c r="L42" s="34">
        <f>F11</f>
        <v>0.02</v>
      </c>
      <c r="M42" s="2"/>
      <c r="N42" s="2"/>
    </row>
    <row r="43" spans="2:14">
      <c r="B43" t="s">
        <v>33</v>
      </c>
      <c r="D43" s="20"/>
      <c r="E43" s="33"/>
      <c r="F43" s="33"/>
      <c r="G43" s="34">
        <f>G20</f>
        <v>0.14819264659590869</v>
      </c>
      <c r="H43" s="34">
        <f>H20</f>
        <v>0.10487555275587912</v>
      </c>
      <c r="I43" s="34">
        <f t="shared" ref="I43" si="16">I20</f>
        <v>8.1593572069870834E-2</v>
      </c>
      <c r="J43" s="34">
        <f>I43-($I$43-$L$43)/($L$39-$I$39)</f>
        <v>7.1062381379913886E-2</v>
      </c>
      <c r="K43" s="34">
        <f>J43-($I$43-$L$43)/($L$39-$I$39)</f>
        <v>6.0531190689956944E-2</v>
      </c>
      <c r="L43" s="35">
        <f>I11</f>
        <v>0.05</v>
      </c>
      <c r="M43" s="2"/>
      <c r="N43" s="2"/>
    </row>
    <row r="44" spans="2:14">
      <c r="B44" t="s">
        <v>34</v>
      </c>
      <c r="D44" s="20"/>
      <c r="E44" s="33"/>
      <c r="F44" s="33"/>
      <c r="G44" s="34">
        <f>G43</f>
        <v>0.14819264659590869</v>
      </c>
      <c r="H44" s="36">
        <f>H43*$L$10</f>
        <v>0.12585066330705494</v>
      </c>
      <c r="I44" s="36">
        <f t="shared" ref="I44" si="17">I43*$L$10</f>
        <v>9.7912286483844993E-2</v>
      </c>
      <c r="J44" s="34">
        <f>I44-($I$44-$L$44)/($L$39-$I$39)</f>
        <v>9.1941524322563334E-2</v>
      </c>
      <c r="K44" s="34">
        <f>J44-($I$44-$L$44)/($L$39-$I$39)</f>
        <v>8.5970762161281675E-2</v>
      </c>
      <c r="L44" s="36">
        <f>L11</f>
        <v>0.08</v>
      </c>
      <c r="M44" s="2"/>
      <c r="N44" s="2"/>
    </row>
    <row r="45" spans="2:14">
      <c r="D45" s="6"/>
      <c r="E45" s="6"/>
      <c r="F45" s="6"/>
      <c r="G45" s="6"/>
      <c r="H45" s="6"/>
      <c r="I45" s="6"/>
    </row>
    <row r="46" spans="2:14">
      <c r="B46" t="s">
        <v>14</v>
      </c>
      <c r="D46" s="37">
        <f>D22</f>
        <v>114301</v>
      </c>
      <c r="E46" s="37">
        <f t="shared" ref="E46:F46" si="18">E22</f>
        <v>123216</v>
      </c>
      <c r="F46" s="37">
        <f t="shared" si="18"/>
        <v>133050</v>
      </c>
      <c r="G46" s="38">
        <f ca="1">G47*G40</f>
        <v>156383.99999999997</v>
      </c>
      <c r="H46" s="38">
        <f t="shared" ref="H46:L46" ca="1" si="19">H47*H40</f>
        <v>166730.99999999997</v>
      </c>
      <c r="I46" s="38">
        <f t="shared" ca="1" si="19"/>
        <v>186084.99999999997</v>
      </c>
      <c r="J46" s="38">
        <f t="shared" ca="1" si="19"/>
        <v>199308.64323908123</v>
      </c>
      <c r="K46" s="38">
        <f t="shared" ca="1" si="19"/>
        <v>211373.03272914267</v>
      </c>
      <c r="L46" s="38">
        <f t="shared" ca="1" si="19"/>
        <v>221941.68436559979</v>
      </c>
    </row>
    <row r="47" spans="2:14">
      <c r="B47" t="s">
        <v>25</v>
      </c>
      <c r="D47" s="39">
        <f>D23</f>
        <v>0.29821412265024722</v>
      </c>
      <c r="E47" s="39">
        <f t="shared" ref="E47:F47" si="20">E23</f>
        <v>0.31510222870075566</v>
      </c>
      <c r="F47" s="39">
        <f t="shared" si="20"/>
        <v>0.31970799762591884</v>
      </c>
      <c r="G47" s="39">
        <f ca="1">OFFSET(G47,$C$11,0)</f>
        <v>0.32727752164459128</v>
      </c>
      <c r="H47" s="39">
        <f t="shared" ref="H47:L47" ca="1" si="21">OFFSET(H47,$C$11,0)</f>
        <v>0.31581070791330934</v>
      </c>
      <c r="I47" s="39">
        <f t="shared" ca="1" si="21"/>
        <v>0.32588004336077531</v>
      </c>
      <c r="J47" s="39">
        <f t="shared" ca="1" si="21"/>
        <v>0.32588004336077531</v>
      </c>
      <c r="K47" s="39">
        <f t="shared" ca="1" si="21"/>
        <v>0.32588004336077531</v>
      </c>
      <c r="L47" s="39">
        <f t="shared" ca="1" si="21"/>
        <v>0.32588004336077531</v>
      </c>
    </row>
    <row r="48" spans="2:14">
      <c r="B48" t="s">
        <v>32</v>
      </c>
      <c r="D48" s="6"/>
      <c r="E48" s="6"/>
      <c r="F48" s="6"/>
      <c r="G48" s="34">
        <f>G49</f>
        <v>0.32727752164459128</v>
      </c>
      <c r="H48" s="34">
        <f>H49*$F$12</f>
        <v>0.28422963712197841</v>
      </c>
      <c r="I48" s="34">
        <f t="shared" ref="I48:L48" si="22">I49*$F$12</f>
        <v>0.2932920390246978</v>
      </c>
      <c r="J48" s="34">
        <f t="shared" si="22"/>
        <v>0.2932920390246978</v>
      </c>
      <c r="K48" s="34">
        <f t="shared" si="22"/>
        <v>0.2932920390246978</v>
      </c>
      <c r="L48" s="34">
        <f t="shared" si="22"/>
        <v>0.2932920390246978</v>
      </c>
    </row>
    <row r="49" spans="2:12">
      <c r="B49" t="s">
        <v>33</v>
      </c>
      <c r="D49" s="6"/>
      <c r="E49" s="40"/>
      <c r="F49" s="6"/>
      <c r="G49" s="34">
        <f>G23</f>
        <v>0.32727752164459128</v>
      </c>
      <c r="H49" s="34">
        <f t="shared" ref="H49:I49" si="23">H23</f>
        <v>0.31581070791330934</v>
      </c>
      <c r="I49" s="34">
        <f t="shared" si="23"/>
        <v>0.32588004336077531</v>
      </c>
      <c r="J49" s="34">
        <f>I49</f>
        <v>0.32588004336077531</v>
      </c>
      <c r="K49" s="34">
        <f t="shared" ref="K49:L49" si="24">J49</f>
        <v>0.32588004336077531</v>
      </c>
      <c r="L49" s="34">
        <f t="shared" si="24"/>
        <v>0.32588004336077531</v>
      </c>
    </row>
    <row r="50" spans="2:12">
      <c r="B50" t="s">
        <v>34</v>
      </c>
      <c r="D50" s="6"/>
      <c r="E50" s="40"/>
      <c r="F50" s="6"/>
      <c r="G50" s="34">
        <f>G49</f>
        <v>0.32727752164459128</v>
      </c>
      <c r="H50" s="36">
        <f>H49*$L$12</f>
        <v>0.34739177870464033</v>
      </c>
      <c r="I50" s="36">
        <f t="shared" ref="I50:L50" si="25">I49*$L$12</f>
        <v>0.35846804769685287</v>
      </c>
      <c r="J50" s="36">
        <f t="shared" si="25"/>
        <v>0.35846804769685287</v>
      </c>
      <c r="K50" s="36">
        <f t="shared" si="25"/>
        <v>0.35846804769685287</v>
      </c>
      <c r="L50" s="36">
        <f t="shared" si="25"/>
        <v>0.35846804769685287</v>
      </c>
    </row>
    <row r="51" spans="2:12">
      <c r="D51" s="6"/>
      <c r="E51" s="6"/>
      <c r="F51" s="6"/>
      <c r="J51" s="6"/>
      <c r="K51" s="6"/>
      <c r="L51" s="6"/>
    </row>
    <row r="52" spans="2:12">
      <c r="B52" t="s">
        <v>18</v>
      </c>
      <c r="D52" s="37">
        <f>D25</f>
        <v>16741</v>
      </c>
      <c r="E52" s="37">
        <f t="shared" ref="E52:F52" si="26">E25</f>
        <v>29749</v>
      </c>
      <c r="F52" s="37">
        <f t="shared" si="26"/>
        <v>20719</v>
      </c>
      <c r="G52" s="46">
        <f ca="1">G53*G46</f>
        <v>28338.103441411509</v>
      </c>
      <c r="H52" s="46">
        <f t="shared" ref="H52:L52" ca="1" si="27">H53*H46</f>
        <v>29672.576882187346</v>
      </c>
      <c r="I52" s="46">
        <f t="shared" ca="1" si="27"/>
        <v>32513.715505275708</v>
      </c>
      <c r="J52" s="46">
        <f t="shared" ca="1" si="27"/>
        <v>34178.120415875885</v>
      </c>
      <c r="K52" s="46">
        <f t="shared" ca="1" si="27"/>
        <v>35561.756570251062</v>
      </c>
      <c r="L52" s="46">
        <f t="shared" ca="1" si="27"/>
        <v>36620.377920323968</v>
      </c>
    </row>
    <row r="53" spans="2:12">
      <c r="B53" t="s">
        <v>35</v>
      </c>
      <c r="D53" s="7">
        <f>D52/D22</f>
        <v>0.14646416041854401</v>
      </c>
      <c r="E53" s="7">
        <f t="shared" ref="E53:F53" si="28">E52/E22</f>
        <v>0.24143780028567718</v>
      </c>
      <c r="F53" s="7">
        <f t="shared" si="28"/>
        <v>0.15572341225103345</v>
      </c>
      <c r="G53" s="34">
        <f>AVERAGE(D53:F53)</f>
        <v>0.18120845765175156</v>
      </c>
      <c r="H53" s="34">
        <f>G53+($L$53-$G$53)/($L$39-$G$39)</f>
        <v>0.17796676612140125</v>
      </c>
      <c r="I53" s="34">
        <f>H53+($L$53-$G$53)/($L$39-$G$39)</f>
        <v>0.17472507459105094</v>
      </c>
      <c r="J53" s="34">
        <f>I53+($L$53-$G$53)/($L$39-$G$39)</f>
        <v>0.17148338306070063</v>
      </c>
      <c r="K53" s="34">
        <f>J53+($L$53-$G$53)/($L$39-$G$39)</f>
        <v>0.16824169153035032</v>
      </c>
      <c r="L53" s="34">
        <f>I14</f>
        <v>0.16500000000000001</v>
      </c>
    </row>
    <row r="54" spans="2:12">
      <c r="D54" s="6"/>
      <c r="E54" s="6"/>
      <c r="F54" s="6"/>
      <c r="G54" s="6"/>
      <c r="H54" s="6"/>
      <c r="I54" s="6"/>
    </row>
    <row r="55" spans="2:12">
      <c r="B55" s="41" t="s">
        <v>36</v>
      </c>
      <c r="C55" s="42"/>
      <c r="D55" s="43"/>
      <c r="E55" s="43"/>
      <c r="F55" s="43"/>
      <c r="G55" s="44">
        <f ca="1">G46-G52</f>
        <v>128045.89655858846</v>
      </c>
      <c r="H55" s="44">
        <f t="shared" ref="H55:L55" ca="1" si="29">H46-H52</f>
        <v>137058.42311781264</v>
      </c>
      <c r="I55" s="44">
        <f t="shared" ca="1" si="29"/>
        <v>153571.28449472427</v>
      </c>
      <c r="J55" s="44">
        <f t="shared" ca="1" si="29"/>
        <v>165130.52282320533</v>
      </c>
      <c r="K55" s="44">
        <f t="shared" ca="1" si="29"/>
        <v>175811.27615889162</v>
      </c>
      <c r="L55" s="44">
        <f t="shared" ca="1" si="29"/>
        <v>185321.30644527584</v>
      </c>
    </row>
    <row r="57" spans="2:12">
      <c r="B57" t="s">
        <v>27</v>
      </c>
      <c r="D57" s="45">
        <f>D29</f>
        <v>11519</v>
      </c>
      <c r="E57" s="45">
        <f>E29</f>
        <v>11445</v>
      </c>
      <c r="F57" s="45">
        <f>F29</f>
        <v>11698</v>
      </c>
      <c r="G57" s="46">
        <f ca="1">G58*G40</f>
        <v>13925.829218728843</v>
      </c>
      <c r="H57" s="46">
        <f t="shared" ref="H57:L57" ca="1" si="30">H58*H40</f>
        <v>15386.308255627002</v>
      </c>
      <c r="I57" s="46">
        <f t="shared" ca="1" si="30"/>
        <v>16641.732107171752</v>
      </c>
      <c r="J57" s="46">
        <f t="shared" ca="1" si="30"/>
        <v>17824.333220993947</v>
      </c>
      <c r="K57" s="46">
        <f t="shared" ca="1" si="30"/>
        <v>18903.261334115268</v>
      </c>
      <c r="L57" s="46">
        <f t="shared" ca="1" si="30"/>
        <v>19848.424400821033</v>
      </c>
    </row>
    <row r="58" spans="2:12">
      <c r="B58" t="s">
        <v>25</v>
      </c>
      <c r="D58" s="7">
        <f>D57/D19</f>
        <v>3.0053354553400212E-2</v>
      </c>
      <c r="E58" s="7">
        <f t="shared" ref="E58:F58" si="31">E57/E19</f>
        <v>2.9268479803598143E-2</v>
      </c>
      <c r="F58" s="7">
        <f t="shared" si="31"/>
        <v>2.8109313462818475E-2</v>
      </c>
      <c r="G58" s="34">
        <f>AVERAGE(D58:F58)</f>
        <v>2.9143715939938943E-2</v>
      </c>
      <c r="H58" s="34">
        <f>G58</f>
        <v>2.9143715939938943E-2</v>
      </c>
      <c r="I58" s="34">
        <f t="shared" ref="I58:L58" si="32">H58</f>
        <v>2.9143715939938943E-2</v>
      </c>
      <c r="J58" s="34">
        <f t="shared" si="32"/>
        <v>2.9143715939938943E-2</v>
      </c>
      <c r="K58" s="34">
        <f t="shared" si="32"/>
        <v>2.9143715939938943E-2</v>
      </c>
      <c r="L58" s="34">
        <f t="shared" si="32"/>
        <v>2.9143715939938943E-2</v>
      </c>
    </row>
    <row r="59" spans="2:12">
      <c r="D59" s="6"/>
      <c r="E59" s="6"/>
      <c r="F59" s="6"/>
    </row>
    <row r="60" spans="2:12">
      <c r="B60" t="s">
        <v>28</v>
      </c>
      <c r="D60" s="45">
        <f>D32</f>
        <v>10959</v>
      </c>
      <c r="E60" s="45">
        <f t="shared" ref="E60:F60" si="33">E32</f>
        <v>9447</v>
      </c>
      <c r="F60" s="45">
        <f t="shared" si="33"/>
        <v>12715</v>
      </c>
      <c r="G60" s="46">
        <f ca="1">G61*G40</f>
        <v>13268.521334507355</v>
      </c>
      <c r="H60" s="46">
        <f t="shared" ref="H60:L60" ca="1" si="34">H61*H40</f>
        <v>14660.064843716988</v>
      </c>
      <c r="I60" s="46">
        <f t="shared" ca="1" si="34"/>
        <v>15856.231901091789</v>
      </c>
      <c r="J60" s="46">
        <f t="shared" ca="1" si="34"/>
        <v>16983.013499695531</v>
      </c>
      <c r="K60" s="46">
        <f t="shared" ca="1" si="34"/>
        <v>18011.015528335716</v>
      </c>
      <c r="L60" s="46">
        <f t="shared" ca="1" si="34"/>
        <v>18911.566304752501</v>
      </c>
    </row>
    <row r="61" spans="2:12">
      <c r="B61" s="30" t="s">
        <v>25</v>
      </c>
      <c r="D61" s="7">
        <f>D60/D19</f>
        <v>2.859230076835775E-2</v>
      </c>
      <c r="E61" s="7">
        <f t="shared" ref="E61:F61" si="35">E60/E19</f>
        <v>2.415896275269477E-2</v>
      </c>
      <c r="F61" s="7">
        <f t="shared" si="35"/>
        <v>3.0553079216937677E-2</v>
      </c>
      <c r="G61" s="34">
        <f>AVERAGE(D61:F61)</f>
        <v>2.7768114245996733E-2</v>
      </c>
      <c r="H61" s="34">
        <f>G61</f>
        <v>2.7768114245996733E-2</v>
      </c>
      <c r="I61" s="34">
        <f t="shared" ref="I61:L61" si="36">H61</f>
        <v>2.7768114245996733E-2</v>
      </c>
      <c r="J61" s="34">
        <f t="shared" si="36"/>
        <v>2.7768114245996733E-2</v>
      </c>
      <c r="K61" s="34">
        <f t="shared" si="36"/>
        <v>2.7768114245996733E-2</v>
      </c>
      <c r="L61" s="34">
        <f t="shared" si="36"/>
        <v>2.7768114245996733E-2</v>
      </c>
    </row>
    <row r="62" spans="2:12">
      <c r="D62" s="6"/>
      <c r="E62" s="6"/>
      <c r="F62" s="6"/>
    </row>
    <row r="63" spans="2:12">
      <c r="B63" t="s">
        <v>29</v>
      </c>
      <c r="D63" s="37">
        <f>D35</f>
        <v>-5577</v>
      </c>
      <c r="E63" s="37">
        <f t="shared" ref="E63:F63" si="37">E35</f>
        <v>3651</v>
      </c>
      <c r="F63" s="37">
        <f t="shared" si="37"/>
        <v>-24900</v>
      </c>
      <c r="G63" s="46">
        <f ca="1">G64*G40</f>
        <v>-10360.436110406834</v>
      </c>
      <c r="H63" s="46">
        <f t="shared" ref="H63:L63" ca="1" si="38">H64*H40</f>
        <v>-11446.992574277721</v>
      </c>
      <c r="I63" s="46">
        <f t="shared" ca="1" si="38"/>
        <v>-12380.993587870325</v>
      </c>
      <c r="J63" s="46">
        <f t="shared" ca="1" si="38"/>
        <v>-13260.816476073835</v>
      </c>
      <c r="K63" s="46">
        <f t="shared" ca="1" si="38"/>
        <v>-14063.509486891584</v>
      </c>
      <c r="L63" s="46">
        <f t="shared" ca="1" si="38"/>
        <v>-14766.684961236164</v>
      </c>
    </row>
    <row r="64" spans="2:12">
      <c r="B64" s="30" t="s">
        <v>25</v>
      </c>
      <c r="D64" s="7">
        <f>D63/D19</f>
        <v>-1.4550530284253231E-2</v>
      </c>
      <c r="E64" s="7">
        <f t="shared" ref="E64:F64" si="39">E63/E19</f>
        <v>9.3367601365606668E-3</v>
      </c>
      <c r="F64" s="7">
        <f t="shared" si="39"/>
        <v>-5.9832612858965642E-2</v>
      </c>
      <c r="G64" s="34">
        <f>AVERAGE(D64:F64)</f>
        <v>-2.1682127668886067E-2</v>
      </c>
      <c r="H64" s="34">
        <f>G64</f>
        <v>-2.1682127668886067E-2</v>
      </c>
      <c r="I64" s="34">
        <f t="shared" ref="I64:L64" si="40">H64</f>
        <v>-2.1682127668886067E-2</v>
      </c>
      <c r="J64" s="34">
        <f t="shared" si="40"/>
        <v>-2.1682127668886067E-2</v>
      </c>
      <c r="K64" s="34">
        <f t="shared" si="40"/>
        <v>-2.1682127668886067E-2</v>
      </c>
      <c r="L64" s="34">
        <f t="shared" si="40"/>
        <v>-2.1682127668886067E-2</v>
      </c>
    </row>
    <row r="66" spans="2:12">
      <c r="B66" t="s">
        <v>37</v>
      </c>
      <c r="G66" s="38">
        <f ca="1">G55+G57-G60-G63</f>
        <v>139063.64055321677</v>
      </c>
      <c r="H66" s="38">
        <f t="shared" ref="H66:L66" ca="1" si="41">H55+H57-H60-H63</f>
        <v>149231.65910400034</v>
      </c>
      <c r="I66" s="38">
        <f t="shared" ca="1" si="41"/>
        <v>166737.77828867457</v>
      </c>
      <c r="J66" s="38">
        <f t="shared" ca="1" si="41"/>
        <v>179232.65902057759</v>
      </c>
      <c r="K66" s="38">
        <f t="shared" ca="1" si="41"/>
        <v>190767.03145156274</v>
      </c>
      <c r="L66" s="38">
        <f t="shared" ca="1" si="41"/>
        <v>201024.84950258056</v>
      </c>
    </row>
    <row r="67" spans="2:12">
      <c r="B67" t="s">
        <v>38</v>
      </c>
      <c r="G67" s="46">
        <f t="shared" ref="G67:L67" ca="1" si="42">G66/(1+$C$15)^G70</f>
        <v>138981.00340797895</v>
      </c>
      <c r="H67" s="46">
        <f t="shared" ca="1" si="42"/>
        <v>133730.9616022438</v>
      </c>
      <c r="I67" s="46">
        <f t="shared" ca="1" si="42"/>
        <v>138994.15776035291</v>
      </c>
      <c r="J67" s="46">
        <f t="shared" ca="1" si="42"/>
        <v>138986.05225579755</v>
      </c>
      <c r="K67" s="46">
        <f t="shared" ca="1" si="42"/>
        <v>137609.66227397739</v>
      </c>
      <c r="L67" s="46">
        <f t="shared" ca="1" si="42"/>
        <v>134892.21583209044</v>
      </c>
    </row>
    <row r="69" spans="2:12">
      <c r="B69" t="s">
        <v>39</v>
      </c>
      <c r="G69" s="47">
        <f>6/365</f>
        <v>1.643835616438356E-2</v>
      </c>
      <c r="H69" s="48">
        <f>G69+1</f>
        <v>1.0164383561643835</v>
      </c>
      <c r="I69" s="48">
        <f t="shared" ref="I69:L69" si="43">H69+1</f>
        <v>2.0164383561643833</v>
      </c>
      <c r="J69" s="48">
        <f t="shared" si="43"/>
        <v>3.0164383561643833</v>
      </c>
      <c r="K69" s="48">
        <f t="shared" si="43"/>
        <v>4.0164383561643833</v>
      </c>
      <c r="L69" s="48">
        <f t="shared" si="43"/>
        <v>5.0164383561643833</v>
      </c>
    </row>
    <row r="70" spans="2:12">
      <c r="B70" t="s">
        <v>40</v>
      </c>
      <c r="G70" s="48">
        <f>G69/2</f>
        <v>8.21917808219178E-3</v>
      </c>
      <c r="H70" s="48">
        <f>H69+0.5</f>
        <v>1.5164383561643835</v>
      </c>
      <c r="I70" s="48">
        <f>H70+1</f>
        <v>2.5164383561643833</v>
      </c>
      <c r="J70" s="48">
        <f t="shared" ref="J70:L70" si="44">I70+1</f>
        <v>3.5164383561643833</v>
      </c>
      <c r="K70" s="48">
        <f t="shared" si="44"/>
        <v>4.5164383561643833</v>
      </c>
      <c r="L70" s="48">
        <f t="shared" si="44"/>
        <v>5.5164383561643833</v>
      </c>
    </row>
    <row r="72" spans="2:12">
      <c r="B72" t="s">
        <v>41</v>
      </c>
      <c r="I72" s="49"/>
      <c r="L72" s="46">
        <f ca="1">L66*(1+C16)/(C15-C16)</f>
        <v>4121009.414802901</v>
      </c>
    </row>
    <row r="73" spans="2:12">
      <c r="B73" t="s">
        <v>42</v>
      </c>
      <c r="I73" s="49"/>
      <c r="L73" s="86">
        <f ca="1">L72/(1+C15)^L70</f>
        <v>2765290.424557854</v>
      </c>
    </row>
    <row r="74" spans="2:12">
      <c r="B74" t="s">
        <v>43</v>
      </c>
      <c r="I74" s="49"/>
      <c r="L74" s="46">
        <f ca="1">SUM(G67:L67,L73)</f>
        <v>3588484.4776902953</v>
      </c>
    </row>
    <row r="75" spans="2:12">
      <c r="B75" t="s">
        <v>44</v>
      </c>
      <c r="I75" s="50"/>
      <c r="L75">
        <f>35934+18763+77723</f>
        <v>132420</v>
      </c>
    </row>
    <row r="76" spans="2:12">
      <c r="B76" t="s">
        <v>45</v>
      </c>
      <c r="I76" s="50"/>
      <c r="L76" s="70">
        <f>WACC!E15</f>
        <v>90678</v>
      </c>
    </row>
    <row r="77" spans="2:12">
      <c r="B77" t="s">
        <v>46</v>
      </c>
      <c r="I77" s="49"/>
      <c r="L77" s="46">
        <f ca="1">L74+L75-L76</f>
        <v>3630226.4776902953</v>
      </c>
    </row>
    <row r="78" spans="2:12">
      <c r="I78" s="24"/>
    </row>
    <row r="79" spans="2:12">
      <c r="B79" t="s">
        <v>47</v>
      </c>
      <c r="I79" s="50"/>
      <c r="L79">
        <v>14715</v>
      </c>
    </row>
    <row r="80" spans="2:12">
      <c r="B80" t="s">
        <v>48</v>
      </c>
      <c r="I80" s="51"/>
      <c r="L80" s="46">
        <f ca="1">L77/L79</f>
        <v>246.7024449670605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9AC7CA-69BC-654D-A5D3-3BFA580ED8BC}">
  <dimension ref="A1:R37"/>
  <sheetViews>
    <sheetView workbookViewId="0">
      <selection activeCell="D14" sqref="D14"/>
    </sheetView>
  </sheetViews>
  <sheetFormatPr baseColWidth="10" defaultRowHeight="16"/>
  <cols>
    <col min="1" max="1" width="48" bestFit="1" customWidth="1"/>
    <col min="2" max="2" width="15" bestFit="1" customWidth="1"/>
    <col min="3" max="4" width="11.83203125" bestFit="1" customWidth="1"/>
  </cols>
  <sheetData>
    <row r="1" spans="1:18">
      <c r="A1" s="57" t="s">
        <v>68</v>
      </c>
      <c r="B1" s="57" t="s">
        <v>69</v>
      </c>
      <c r="C1" s="2"/>
      <c r="D1" s="2"/>
    </row>
    <row r="2" spans="1:18">
      <c r="A2" s="57" t="s">
        <v>70</v>
      </c>
      <c r="B2" s="57"/>
      <c r="C2" s="2"/>
      <c r="D2" s="2"/>
    </row>
    <row r="3" spans="1:18">
      <c r="A3" s="2"/>
      <c r="B3" s="58" t="s">
        <v>71</v>
      </c>
      <c r="C3" s="58" t="s">
        <v>72</v>
      </c>
      <c r="D3" s="58" t="s">
        <v>73</v>
      </c>
    </row>
    <row r="4" spans="1:18">
      <c r="A4" s="2" t="s">
        <v>74</v>
      </c>
      <c r="B4" s="79">
        <v>416161</v>
      </c>
      <c r="C4" s="79">
        <v>391035</v>
      </c>
      <c r="D4" s="79">
        <v>383285</v>
      </c>
    </row>
    <row r="5" spans="1:18">
      <c r="A5" s="2" t="s">
        <v>75</v>
      </c>
      <c r="B5" s="60">
        <v>220960</v>
      </c>
      <c r="C5" s="60">
        <v>210352</v>
      </c>
      <c r="D5" s="60">
        <v>214137</v>
      </c>
      <c r="E5" s="53"/>
      <c r="F5" s="53"/>
      <c r="G5" s="53"/>
      <c r="H5" s="53"/>
      <c r="I5" s="53"/>
      <c r="J5" s="53"/>
      <c r="K5" s="53"/>
      <c r="L5" s="53"/>
      <c r="M5" s="53"/>
      <c r="N5" s="53"/>
      <c r="O5" s="53"/>
      <c r="P5" s="53"/>
      <c r="Q5" s="53"/>
      <c r="R5" s="53"/>
    </row>
    <row r="6" spans="1:18">
      <c r="A6" s="2" t="s">
        <v>52</v>
      </c>
      <c r="B6" s="60">
        <v>195201</v>
      </c>
      <c r="C6" s="60">
        <v>180683</v>
      </c>
      <c r="D6" s="60">
        <v>169148</v>
      </c>
    </row>
    <row r="7" spans="1:18">
      <c r="A7" s="2" t="s">
        <v>53</v>
      </c>
      <c r="B7" s="59"/>
      <c r="C7" s="59"/>
      <c r="D7" s="59"/>
      <c r="E7" s="89"/>
      <c r="F7" s="52"/>
    </row>
    <row r="8" spans="1:18">
      <c r="A8" s="2" t="s">
        <v>54</v>
      </c>
      <c r="B8" s="60">
        <v>34550</v>
      </c>
      <c r="C8" s="60">
        <v>31370</v>
      </c>
      <c r="D8" s="60">
        <v>29915</v>
      </c>
      <c r="E8" s="89"/>
      <c r="F8" s="52"/>
    </row>
    <row r="9" spans="1:18">
      <c r="A9" s="2" t="s">
        <v>55</v>
      </c>
      <c r="B9" s="60">
        <v>27601</v>
      </c>
      <c r="C9" s="60">
        <v>26097</v>
      </c>
      <c r="D9" s="60">
        <v>24932</v>
      </c>
      <c r="E9" s="53"/>
      <c r="F9" s="53"/>
    </row>
    <row r="10" spans="1:18">
      <c r="A10" s="2" t="s">
        <v>56</v>
      </c>
      <c r="B10" s="60">
        <v>62151</v>
      </c>
      <c r="C10" s="60">
        <v>57467</v>
      </c>
      <c r="D10" s="60">
        <v>54847</v>
      </c>
      <c r="E10" s="53"/>
      <c r="F10" s="54"/>
      <c r="G10" s="54"/>
      <c r="H10" s="53"/>
      <c r="I10" s="53"/>
      <c r="J10" s="54"/>
      <c r="K10" s="54"/>
      <c r="L10" s="53"/>
    </row>
    <row r="11" spans="1:18">
      <c r="A11" s="2" t="s">
        <v>57</v>
      </c>
      <c r="B11" s="60">
        <v>133050</v>
      </c>
      <c r="C11" s="60">
        <v>123216</v>
      </c>
      <c r="D11" s="60">
        <v>114301</v>
      </c>
      <c r="E11" s="54"/>
      <c r="F11" s="53"/>
      <c r="G11" s="53"/>
      <c r="H11" s="54"/>
      <c r="I11" s="53"/>
    </row>
    <row r="12" spans="1:18">
      <c r="A12" s="2" t="s">
        <v>58</v>
      </c>
      <c r="B12" s="59">
        <v>-321</v>
      </c>
      <c r="C12" s="59">
        <v>269</v>
      </c>
      <c r="D12" s="59">
        <v>-565</v>
      </c>
      <c r="E12" s="54"/>
      <c r="F12" s="53"/>
      <c r="G12" s="53"/>
      <c r="H12" s="54"/>
      <c r="I12" s="53"/>
    </row>
    <row r="13" spans="1:18">
      <c r="A13" s="2" t="s">
        <v>59</v>
      </c>
      <c r="B13" s="60">
        <v>132729</v>
      </c>
      <c r="C13" s="60">
        <v>123485</v>
      </c>
      <c r="D13" s="60">
        <v>113736</v>
      </c>
      <c r="E13" s="53"/>
      <c r="F13" s="53"/>
    </row>
    <row r="14" spans="1:18">
      <c r="A14" s="2" t="s">
        <v>60</v>
      </c>
      <c r="B14" s="60">
        <v>20719</v>
      </c>
      <c r="C14" s="60">
        <v>29749</v>
      </c>
      <c r="D14" s="60">
        <v>16741</v>
      </c>
      <c r="E14" s="53"/>
      <c r="F14" s="53"/>
    </row>
    <row r="15" spans="1:18">
      <c r="A15" s="2" t="s">
        <v>61</v>
      </c>
      <c r="B15" s="59" t="s">
        <v>76</v>
      </c>
      <c r="C15" s="59" t="s">
        <v>77</v>
      </c>
      <c r="D15" s="59" t="s">
        <v>78</v>
      </c>
      <c r="E15" s="54"/>
      <c r="F15" s="53"/>
      <c r="G15" s="53"/>
      <c r="H15" s="54"/>
      <c r="I15" s="53"/>
    </row>
    <row r="16" spans="1:18">
      <c r="A16" s="2" t="s">
        <v>65</v>
      </c>
      <c r="B16" s="59"/>
      <c r="C16" s="59"/>
      <c r="D16" s="59"/>
      <c r="E16" s="54"/>
      <c r="F16" s="53"/>
      <c r="G16" s="53"/>
      <c r="H16" s="54"/>
      <c r="I16" s="53"/>
    </row>
    <row r="17" spans="1:12">
      <c r="A17" s="2" t="s">
        <v>79</v>
      </c>
      <c r="B17" s="59" t="s">
        <v>80</v>
      </c>
      <c r="C17" s="59" t="s">
        <v>81</v>
      </c>
      <c r="D17" s="59" t="s">
        <v>82</v>
      </c>
      <c r="E17" s="54"/>
      <c r="F17" s="53"/>
      <c r="G17" s="53"/>
      <c r="H17" s="54"/>
      <c r="I17" s="53"/>
    </row>
    <row r="18" spans="1:12">
      <c r="A18" s="2" t="s">
        <v>83</v>
      </c>
      <c r="B18" s="59" t="s">
        <v>84</v>
      </c>
      <c r="C18" s="59" t="s">
        <v>85</v>
      </c>
      <c r="D18" s="59" t="s">
        <v>86</v>
      </c>
      <c r="E18" s="54"/>
      <c r="F18" s="53"/>
      <c r="G18" s="53"/>
      <c r="H18" s="54"/>
      <c r="I18" s="53"/>
    </row>
    <row r="19" spans="1:12">
      <c r="A19" s="2"/>
      <c r="B19" s="2"/>
      <c r="C19" s="2"/>
      <c r="D19" s="2"/>
      <c r="E19" s="53"/>
      <c r="F19" s="53"/>
    </row>
    <row r="20" spans="1:12">
      <c r="A20" s="54"/>
      <c r="B20" s="53"/>
      <c r="C20" s="53"/>
      <c r="D20" s="53"/>
      <c r="E20" s="53"/>
      <c r="F20" s="53"/>
    </row>
    <row r="21" spans="1:12">
      <c r="A21" s="54"/>
      <c r="B21" s="54"/>
      <c r="C21" s="53"/>
      <c r="D21" s="53"/>
      <c r="E21" s="54"/>
      <c r="F21" s="53"/>
      <c r="G21" s="53"/>
      <c r="H21" s="54"/>
      <c r="I21" s="53"/>
    </row>
    <row r="22" spans="1:12">
      <c r="A22" s="54"/>
      <c r="B22" s="54"/>
      <c r="C22" s="53"/>
      <c r="D22" s="53"/>
      <c r="E22" s="54"/>
      <c r="F22" s="53"/>
      <c r="G22" s="53"/>
      <c r="H22" s="54"/>
      <c r="I22" s="53"/>
    </row>
    <row r="23" spans="1:12">
      <c r="A23" s="54"/>
      <c r="B23" s="54"/>
      <c r="C23" s="53"/>
      <c r="D23" s="53"/>
      <c r="E23" s="54"/>
      <c r="F23" s="53"/>
      <c r="G23" s="53"/>
      <c r="H23" s="54"/>
      <c r="I23" s="53"/>
    </row>
    <row r="24" spans="1:12">
      <c r="A24" s="53"/>
      <c r="B24" s="53"/>
      <c r="C24" s="53"/>
      <c r="D24" s="53"/>
      <c r="E24" s="53"/>
      <c r="F24" s="53"/>
    </row>
    <row r="25" spans="1:12">
      <c r="A25" s="54"/>
      <c r="B25" s="54"/>
      <c r="C25" s="53"/>
      <c r="D25" s="53"/>
      <c r="E25" s="54"/>
      <c r="F25" s="53"/>
      <c r="G25" s="53"/>
      <c r="H25" s="54"/>
      <c r="I25" s="53"/>
    </row>
    <row r="26" spans="1:12">
      <c r="A26" s="54"/>
      <c r="B26" s="54"/>
      <c r="C26" s="53"/>
      <c r="D26" s="53"/>
      <c r="E26" s="54"/>
      <c r="F26" s="53"/>
      <c r="G26" s="53"/>
      <c r="H26" s="54"/>
      <c r="I26" s="53"/>
    </row>
    <row r="27" spans="1:12">
      <c r="A27" s="54"/>
      <c r="B27" s="54"/>
      <c r="C27" s="53"/>
      <c r="D27" s="53"/>
      <c r="E27" s="54"/>
      <c r="F27" s="53"/>
      <c r="G27" s="53"/>
      <c r="H27" s="54"/>
      <c r="I27" s="53"/>
    </row>
    <row r="28" spans="1:12">
      <c r="A28" s="54"/>
      <c r="B28" s="54"/>
      <c r="C28" s="53"/>
      <c r="D28" s="53"/>
      <c r="E28" s="54"/>
      <c r="F28" s="53"/>
      <c r="G28" s="53"/>
      <c r="H28" s="54"/>
      <c r="I28" s="53"/>
    </row>
    <row r="29" spans="1:12">
      <c r="A29" s="54"/>
      <c r="B29" s="54"/>
      <c r="C29" s="54"/>
      <c r="D29" s="53"/>
      <c r="E29" s="53"/>
      <c r="F29" s="54"/>
      <c r="G29" s="54"/>
      <c r="H29" s="53"/>
      <c r="I29" s="53"/>
      <c r="J29" s="54"/>
      <c r="K29" s="54"/>
      <c r="L29" s="53"/>
    </row>
    <row r="30" spans="1:12">
      <c r="A30" s="53"/>
      <c r="B30" s="53"/>
      <c r="C30" s="53"/>
      <c r="D30" s="53"/>
      <c r="E30" s="53"/>
      <c r="F30" s="53"/>
    </row>
    <row r="31" spans="1:12">
      <c r="A31" s="54"/>
      <c r="B31" s="53"/>
      <c r="C31" s="53"/>
      <c r="D31" s="53"/>
      <c r="E31" s="53"/>
      <c r="F31" s="53"/>
    </row>
    <row r="32" spans="1:12">
      <c r="A32" s="54"/>
      <c r="B32" s="54"/>
      <c r="C32" s="54"/>
      <c r="D32" s="53"/>
      <c r="E32" s="53"/>
      <c r="F32" s="54"/>
      <c r="G32" s="54"/>
      <c r="H32" s="53"/>
      <c r="I32" s="53"/>
      <c r="J32" s="54"/>
      <c r="K32" s="54"/>
      <c r="L32" s="53"/>
    </row>
    <row r="33" spans="1:12">
      <c r="A33" s="54"/>
      <c r="B33" s="54"/>
      <c r="C33" s="54"/>
      <c r="D33" s="53"/>
      <c r="E33" s="53"/>
      <c r="F33" s="54"/>
      <c r="G33" s="54"/>
      <c r="H33" s="53"/>
      <c r="I33" s="53"/>
      <c r="J33" s="54"/>
      <c r="K33" s="54"/>
      <c r="L33" s="53"/>
    </row>
    <row r="34" spans="1:12">
      <c r="A34" s="53"/>
      <c r="B34" s="53"/>
      <c r="C34" s="53"/>
      <c r="D34" s="53"/>
      <c r="E34" s="53"/>
      <c r="F34" s="53"/>
    </row>
    <row r="35" spans="1:12">
      <c r="A35" s="54"/>
      <c r="B35" s="53"/>
      <c r="C35" s="53"/>
      <c r="D35" s="53"/>
      <c r="E35" s="53"/>
      <c r="F35" s="53"/>
    </row>
    <row r="36" spans="1:12">
      <c r="A36" s="54"/>
      <c r="B36" s="54"/>
      <c r="C36" s="53"/>
      <c r="D36" s="53"/>
      <c r="E36" s="54"/>
      <c r="F36" s="53"/>
      <c r="G36" s="53"/>
      <c r="H36" s="54"/>
      <c r="I36" s="53"/>
    </row>
    <row r="37" spans="1:12">
      <c r="A37" s="54"/>
      <c r="B37" s="54"/>
      <c r="C37" s="53"/>
      <c r="D37" s="53"/>
      <c r="E37" s="54"/>
      <c r="F37" s="53"/>
      <c r="G37" s="53"/>
      <c r="H37" s="54"/>
    </row>
  </sheetData>
  <mergeCells count="1">
    <mergeCell ref="E7:E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05FD46-3604-8043-97D7-2C7C2324E004}">
  <dimension ref="A1:L47"/>
  <sheetViews>
    <sheetView workbookViewId="0">
      <selection activeCell="A20" sqref="A20"/>
    </sheetView>
  </sheetViews>
  <sheetFormatPr baseColWidth="10" defaultRowHeight="16"/>
  <cols>
    <col min="1" max="1" width="121.33203125" bestFit="1" customWidth="1"/>
    <col min="2" max="2" width="12.5" bestFit="1" customWidth="1"/>
    <col min="4" max="4" width="12.5" bestFit="1" customWidth="1"/>
  </cols>
  <sheetData>
    <row r="1" spans="1:12">
      <c r="A1" s="55" t="s">
        <v>66</v>
      </c>
    </row>
    <row r="2" spans="1:12">
      <c r="A2" s="55" t="s">
        <v>87</v>
      </c>
    </row>
    <row r="3" spans="1:12">
      <c r="A3" s="54" t="s">
        <v>88</v>
      </c>
    </row>
    <row r="4" spans="1:12" ht="18">
      <c r="A4" s="56"/>
    </row>
    <row r="5" spans="1:12">
      <c r="A5" s="53"/>
      <c r="B5" s="53"/>
      <c r="C5" s="53"/>
      <c r="D5" s="53"/>
      <c r="E5" s="53"/>
      <c r="F5" s="53"/>
      <c r="G5" s="53"/>
      <c r="H5" s="53"/>
      <c r="I5" s="53"/>
      <c r="J5" s="53"/>
      <c r="K5" s="53"/>
      <c r="L5" s="53"/>
    </row>
    <row r="6" spans="1:12">
      <c r="A6" s="89"/>
      <c r="B6" s="52" t="s">
        <v>170</v>
      </c>
      <c r="C6" s="89"/>
      <c r="D6" s="52" t="s">
        <v>171</v>
      </c>
    </row>
    <row r="7" spans="1:12">
      <c r="A7" s="89"/>
      <c r="B7" s="52"/>
      <c r="C7" s="89"/>
      <c r="D7" s="52"/>
    </row>
    <row r="8" spans="1:12">
      <c r="A8" s="55" t="s">
        <v>89</v>
      </c>
    </row>
    <row r="9" spans="1:12">
      <c r="A9" s="54" t="s">
        <v>90</v>
      </c>
      <c r="B9" s="53"/>
      <c r="C9" s="53"/>
      <c r="D9" s="53"/>
    </row>
    <row r="10" spans="1:12">
      <c r="A10" s="54" t="s">
        <v>91</v>
      </c>
      <c r="B10" s="54" t="s">
        <v>92</v>
      </c>
      <c r="C10" s="54"/>
      <c r="D10" s="54" t="s">
        <v>93</v>
      </c>
      <c r="E10" s="53"/>
      <c r="F10" s="54"/>
      <c r="G10" s="54"/>
      <c r="H10" s="53"/>
    </row>
    <row r="11" spans="1:12">
      <c r="A11" s="54" t="s">
        <v>94</v>
      </c>
      <c r="B11" s="54" t="s">
        <v>95</v>
      </c>
      <c r="C11" s="53"/>
      <c r="D11" s="54" t="s">
        <v>96</v>
      </c>
      <c r="E11" s="54"/>
      <c r="F11" s="53"/>
    </row>
    <row r="12" spans="1:12">
      <c r="A12" s="54" t="s">
        <v>97</v>
      </c>
      <c r="B12" s="54" t="s">
        <v>98</v>
      </c>
      <c r="C12" s="53"/>
      <c r="D12" s="54" t="s">
        <v>99</v>
      </c>
      <c r="E12" s="54"/>
      <c r="F12" s="53"/>
    </row>
    <row r="13" spans="1:12">
      <c r="A13" s="54" t="s">
        <v>100</v>
      </c>
      <c r="B13" s="54" t="s">
        <v>101</v>
      </c>
      <c r="C13" s="53"/>
      <c r="D13" s="54" t="s">
        <v>102</v>
      </c>
      <c r="E13" s="54"/>
      <c r="F13" s="53"/>
    </row>
    <row r="14" spans="1:12">
      <c r="A14" s="54" t="s">
        <v>103</v>
      </c>
      <c r="B14" s="54" t="s">
        <v>104</v>
      </c>
      <c r="C14" s="53"/>
      <c r="D14" s="54" t="s">
        <v>105</v>
      </c>
      <c r="E14" s="54"/>
      <c r="F14" s="53"/>
    </row>
    <row r="15" spans="1:12">
      <c r="A15" s="54" t="s">
        <v>106</v>
      </c>
      <c r="B15" s="54" t="s">
        <v>107</v>
      </c>
      <c r="C15" s="53"/>
      <c r="D15" s="54" t="s">
        <v>108</v>
      </c>
      <c r="E15" s="54"/>
      <c r="F15" s="53"/>
    </row>
    <row r="16" spans="1:12">
      <c r="A16" s="54" t="s">
        <v>109</v>
      </c>
      <c r="B16" s="54" t="s">
        <v>110</v>
      </c>
      <c r="C16" s="53"/>
      <c r="D16" s="54" t="s">
        <v>111</v>
      </c>
      <c r="E16" s="54"/>
      <c r="F16" s="53"/>
    </row>
    <row r="17" spans="1:8">
      <c r="A17" s="53"/>
      <c r="B17" s="53"/>
      <c r="C17" s="53"/>
    </row>
    <row r="18" spans="1:8">
      <c r="A18" s="54" t="s">
        <v>112</v>
      </c>
      <c r="B18" s="53"/>
      <c r="C18" s="53"/>
    </row>
    <row r="19" spans="1:8">
      <c r="A19" s="54" t="s">
        <v>94</v>
      </c>
      <c r="B19" s="54" t="s">
        <v>113</v>
      </c>
      <c r="C19" s="53"/>
      <c r="D19" s="54" t="s">
        <v>114</v>
      </c>
      <c r="E19" s="54"/>
      <c r="F19" s="53"/>
    </row>
    <row r="20" spans="1:8">
      <c r="A20" s="54" t="s">
        <v>115</v>
      </c>
      <c r="B20" s="54" t="s">
        <v>116</v>
      </c>
      <c r="C20" s="53"/>
      <c r="D20" s="54" t="s">
        <v>117</v>
      </c>
      <c r="E20" s="54"/>
      <c r="F20" s="53"/>
    </row>
    <row r="21" spans="1:8">
      <c r="A21" s="54" t="s">
        <v>118</v>
      </c>
      <c r="B21" s="54" t="s">
        <v>119</v>
      </c>
      <c r="C21" s="53"/>
      <c r="D21" s="54" t="s">
        <v>120</v>
      </c>
      <c r="E21" s="54"/>
      <c r="F21" s="53"/>
    </row>
    <row r="22" spans="1:8">
      <c r="A22" s="54" t="s">
        <v>121</v>
      </c>
      <c r="B22" s="54" t="s">
        <v>122</v>
      </c>
      <c r="C22" s="53"/>
      <c r="D22" s="54" t="s">
        <v>123</v>
      </c>
      <c r="E22" s="54"/>
      <c r="F22" s="53"/>
    </row>
    <row r="23" spans="1:8">
      <c r="A23" s="54" t="s">
        <v>124</v>
      </c>
      <c r="B23" s="54" t="s">
        <v>125</v>
      </c>
      <c r="C23" s="54"/>
      <c r="D23" s="54" t="s">
        <v>126</v>
      </c>
      <c r="E23" s="53"/>
      <c r="F23" s="54"/>
      <c r="G23" s="54"/>
      <c r="H23" s="53"/>
    </row>
    <row r="24" spans="1:8">
      <c r="A24" s="53"/>
      <c r="B24" s="53"/>
      <c r="C24" s="53"/>
    </row>
    <row r="25" spans="1:8">
      <c r="A25" s="55" t="s">
        <v>127</v>
      </c>
    </row>
    <row r="26" spans="1:8">
      <c r="A26" s="54" t="s">
        <v>128</v>
      </c>
      <c r="B26" s="53"/>
      <c r="C26" s="53"/>
    </row>
    <row r="27" spans="1:8">
      <c r="A27" s="54" t="s">
        <v>129</v>
      </c>
      <c r="B27" s="54" t="s">
        <v>130</v>
      </c>
      <c r="C27" s="54"/>
      <c r="D27" s="54" t="s">
        <v>131</v>
      </c>
      <c r="E27" s="53"/>
      <c r="F27" s="54"/>
      <c r="G27" s="54"/>
      <c r="H27" s="53"/>
    </row>
    <row r="28" spans="1:8">
      <c r="A28" s="54" t="s">
        <v>132</v>
      </c>
      <c r="B28" s="54" t="s">
        <v>133</v>
      </c>
      <c r="C28" s="53"/>
      <c r="D28" s="54" t="s">
        <v>134</v>
      </c>
      <c r="E28" s="54"/>
      <c r="F28" s="53"/>
    </row>
    <row r="29" spans="1:8">
      <c r="A29" s="54" t="s">
        <v>135</v>
      </c>
      <c r="B29" s="54" t="s">
        <v>136</v>
      </c>
      <c r="C29" s="53"/>
      <c r="D29" s="54" t="s">
        <v>137</v>
      </c>
      <c r="E29" s="54"/>
      <c r="F29" s="53"/>
    </row>
    <row r="30" spans="1:8">
      <c r="A30" s="54" t="s">
        <v>138</v>
      </c>
      <c r="B30" s="54" t="s">
        <v>139</v>
      </c>
      <c r="C30" s="53"/>
      <c r="D30" s="54" t="s">
        <v>140</v>
      </c>
      <c r="E30" s="54"/>
      <c r="F30" s="53"/>
    </row>
    <row r="31" spans="1:8">
      <c r="A31" s="54" t="s">
        <v>141</v>
      </c>
      <c r="B31" s="54" t="s">
        <v>142</v>
      </c>
      <c r="C31" s="53"/>
      <c r="D31" s="54" t="s">
        <v>143</v>
      </c>
      <c r="E31" s="54"/>
      <c r="F31" s="53"/>
    </row>
    <row r="32" spans="1:8">
      <c r="A32" s="54" t="s">
        <v>144</v>
      </c>
      <c r="B32" s="54" t="s">
        <v>145</v>
      </c>
      <c r="C32" s="53"/>
      <c r="D32" s="54" t="s">
        <v>146</v>
      </c>
      <c r="E32" s="54"/>
      <c r="F32" s="53"/>
    </row>
    <row r="33" spans="1:8">
      <c r="A33" s="53"/>
      <c r="B33" s="53"/>
      <c r="C33" s="53"/>
    </row>
    <row r="34" spans="1:8">
      <c r="A34" s="54" t="s">
        <v>147</v>
      </c>
      <c r="B34" s="53"/>
      <c r="C34" s="53"/>
    </row>
    <row r="35" spans="1:8">
      <c r="A35" s="54" t="s">
        <v>141</v>
      </c>
      <c r="B35" s="54" t="s">
        <v>148</v>
      </c>
      <c r="C35" s="53"/>
      <c r="D35" s="54" t="s">
        <v>149</v>
      </c>
      <c r="E35" s="54"/>
      <c r="F35" s="53"/>
    </row>
    <row r="36" spans="1:8">
      <c r="A36" s="54" t="s">
        <v>150</v>
      </c>
      <c r="B36" s="54" t="s">
        <v>151</v>
      </c>
      <c r="C36" s="53"/>
      <c r="D36" s="54" t="s">
        <v>152</v>
      </c>
      <c r="E36" s="54"/>
      <c r="F36" s="53"/>
    </row>
    <row r="37" spans="1:8">
      <c r="A37" s="54" t="s">
        <v>153</v>
      </c>
      <c r="B37" s="54" t="s">
        <v>154</v>
      </c>
      <c r="C37" s="53"/>
      <c r="D37" s="54" t="s">
        <v>155</v>
      </c>
      <c r="E37" s="54"/>
      <c r="F37" s="53"/>
    </row>
    <row r="38" spans="1:8">
      <c r="A38" s="54" t="s">
        <v>156</v>
      </c>
      <c r="B38" s="54" t="s">
        <v>157</v>
      </c>
      <c r="C38" s="53"/>
      <c r="D38" s="54" t="s">
        <v>158</v>
      </c>
      <c r="E38" s="54"/>
      <c r="F38" s="53"/>
    </row>
    <row r="39" spans="1:8">
      <c r="A39" s="53"/>
      <c r="B39" s="53"/>
      <c r="C39" s="53"/>
    </row>
    <row r="40" spans="1:8">
      <c r="A40" s="54" t="s">
        <v>159</v>
      </c>
      <c r="B40" s="53"/>
      <c r="C40" s="53"/>
    </row>
    <row r="41" spans="1:8">
      <c r="A41" s="53"/>
      <c r="B41" s="53"/>
      <c r="C41" s="53"/>
    </row>
    <row r="42" spans="1:8">
      <c r="A42" s="54" t="s">
        <v>160</v>
      </c>
      <c r="B42" s="53"/>
      <c r="C42" s="53"/>
    </row>
    <row r="43" spans="1:8">
      <c r="A43" s="54" t="s">
        <v>161</v>
      </c>
      <c r="B43" s="54" t="s">
        <v>162</v>
      </c>
      <c r="C43" s="53"/>
      <c r="D43" s="54" t="s">
        <v>163</v>
      </c>
      <c r="E43" s="54"/>
      <c r="F43" s="53"/>
    </row>
    <row r="44" spans="1:8">
      <c r="A44" s="54" t="s">
        <v>164</v>
      </c>
      <c r="B44" s="61">
        <v>-14264</v>
      </c>
      <c r="C44" s="53"/>
      <c r="D44" s="61">
        <v>-19154</v>
      </c>
      <c r="E44" s="61"/>
      <c r="F44" s="53"/>
    </row>
    <row r="45" spans="1:8">
      <c r="A45" s="54" t="s">
        <v>165</v>
      </c>
      <c r="B45" s="61">
        <v>-5571</v>
      </c>
      <c r="C45" s="53"/>
      <c r="D45" s="61">
        <v>-7172</v>
      </c>
      <c r="E45" s="61"/>
      <c r="F45" s="53"/>
    </row>
    <row r="46" spans="1:8">
      <c r="A46" s="54" t="s">
        <v>166</v>
      </c>
      <c r="B46" s="54" t="s">
        <v>167</v>
      </c>
      <c r="C46" s="53"/>
      <c r="D46" s="54" t="s">
        <v>168</v>
      </c>
      <c r="E46" s="54"/>
      <c r="F46" s="53"/>
    </row>
    <row r="47" spans="1:8">
      <c r="A47" s="54" t="s">
        <v>169</v>
      </c>
      <c r="B47" s="54" t="s">
        <v>125</v>
      </c>
      <c r="C47" s="54"/>
      <c r="D47" s="54" t="s">
        <v>126</v>
      </c>
      <c r="E47" s="53"/>
      <c r="F47" s="54"/>
      <c r="G47" s="54"/>
      <c r="H47" s="53"/>
    </row>
  </sheetData>
  <mergeCells count="2">
    <mergeCell ref="A6:A7"/>
    <mergeCell ref="C6:C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2C5E57-77FD-7F49-BC46-944C79E41337}">
  <dimension ref="A2:R49"/>
  <sheetViews>
    <sheetView topLeftCell="A5" workbookViewId="0">
      <selection activeCell="J30" sqref="G30:J30"/>
    </sheetView>
  </sheetViews>
  <sheetFormatPr baseColWidth="10" defaultRowHeight="16"/>
  <cols>
    <col min="1" max="1" width="64.5" bestFit="1" customWidth="1"/>
    <col min="2" max="2" width="9.5" bestFit="1" customWidth="1"/>
  </cols>
  <sheetData>
    <row r="2" spans="1:18">
      <c r="A2" s="55" t="s">
        <v>66</v>
      </c>
    </row>
    <row r="3" spans="1:18">
      <c r="A3" s="55" t="s">
        <v>172</v>
      </c>
    </row>
    <row r="4" spans="1:18">
      <c r="A4" s="54" t="s">
        <v>173</v>
      </c>
    </row>
    <row r="5" spans="1:18">
      <c r="A5" s="53"/>
      <c r="B5" s="53"/>
      <c r="C5" s="53"/>
      <c r="D5" s="53"/>
      <c r="E5" s="53"/>
      <c r="F5" s="53"/>
      <c r="G5" s="53"/>
      <c r="H5" s="53"/>
      <c r="I5" s="53"/>
      <c r="J5" s="53"/>
      <c r="K5" s="53"/>
      <c r="L5" s="53"/>
      <c r="M5" s="53"/>
      <c r="N5" s="53"/>
      <c r="O5" s="53"/>
      <c r="P5" s="53"/>
      <c r="Q5" s="53"/>
      <c r="R5" s="53"/>
    </row>
    <row r="6" spans="1:18">
      <c r="A6" s="53"/>
      <c r="B6" s="52" t="s">
        <v>67</v>
      </c>
    </row>
    <row r="7" spans="1:18">
      <c r="A7" s="89"/>
      <c r="B7" s="52" t="s">
        <v>49</v>
      </c>
      <c r="C7" s="89"/>
      <c r="D7" s="52" t="s">
        <v>50</v>
      </c>
      <c r="E7" s="89"/>
      <c r="F7" s="52" t="s">
        <v>51</v>
      </c>
    </row>
    <row r="8" spans="1:18">
      <c r="A8" s="89"/>
      <c r="B8" s="52">
        <v>2025</v>
      </c>
      <c r="C8" s="89"/>
      <c r="D8" s="52">
        <v>2024</v>
      </c>
      <c r="E8" s="89"/>
      <c r="F8" s="52">
        <v>2023</v>
      </c>
    </row>
    <row r="9" spans="1:18">
      <c r="A9" s="62" t="s">
        <v>174</v>
      </c>
      <c r="B9" s="64" t="s">
        <v>93</v>
      </c>
      <c r="C9" s="62"/>
      <c r="D9" s="64" t="s">
        <v>175</v>
      </c>
      <c r="E9" s="62"/>
      <c r="F9" s="64" t="s">
        <v>176</v>
      </c>
      <c r="G9" s="62"/>
      <c r="H9" s="62"/>
      <c r="I9" s="53"/>
      <c r="J9" s="62"/>
      <c r="K9" s="62"/>
      <c r="L9" s="53"/>
    </row>
    <row r="10" spans="1:18">
      <c r="A10" s="53"/>
      <c r="B10" s="65"/>
      <c r="C10" s="53"/>
      <c r="D10" s="65"/>
      <c r="E10" s="53"/>
      <c r="F10" s="6"/>
    </row>
    <row r="11" spans="1:18">
      <c r="A11" s="62" t="s">
        <v>177</v>
      </c>
      <c r="B11" s="65"/>
      <c r="C11" s="53"/>
      <c r="D11" s="65"/>
      <c r="E11" s="53"/>
      <c r="F11" s="6"/>
    </row>
    <row r="12" spans="1:18">
      <c r="A12" s="62" t="s">
        <v>61</v>
      </c>
      <c r="B12" s="64" t="s">
        <v>62</v>
      </c>
      <c r="C12" s="53"/>
      <c r="D12" s="64" t="s">
        <v>63</v>
      </c>
      <c r="E12" s="62"/>
      <c r="F12" s="64" t="s">
        <v>64</v>
      </c>
      <c r="G12" s="53"/>
      <c r="H12" s="62"/>
      <c r="I12" s="53"/>
    </row>
    <row r="13" spans="1:18">
      <c r="A13" s="62" t="s">
        <v>178</v>
      </c>
      <c r="B13" s="65"/>
      <c r="C13" s="53"/>
      <c r="D13" s="65"/>
      <c r="E13" s="53"/>
      <c r="F13" s="6"/>
    </row>
    <row r="14" spans="1:18">
      <c r="A14" s="62" t="s">
        <v>179</v>
      </c>
      <c r="B14" s="64">
        <v>11698</v>
      </c>
      <c r="C14" s="53"/>
      <c r="D14" s="64">
        <v>11445</v>
      </c>
      <c r="E14" s="62"/>
      <c r="F14" s="64">
        <v>11519</v>
      </c>
      <c r="G14" s="53"/>
      <c r="H14" s="62"/>
      <c r="I14" s="53"/>
    </row>
    <row r="15" spans="1:18">
      <c r="A15" s="62" t="s">
        <v>180</v>
      </c>
      <c r="B15" s="64" t="s">
        <v>181</v>
      </c>
      <c r="C15" s="53"/>
      <c r="D15" s="64" t="s">
        <v>182</v>
      </c>
      <c r="E15" s="62"/>
      <c r="F15" s="64" t="s">
        <v>183</v>
      </c>
      <c r="G15" s="53"/>
      <c r="H15" s="62"/>
      <c r="I15" s="53"/>
    </row>
    <row r="16" spans="1:18">
      <c r="A16" s="62" t="s">
        <v>184</v>
      </c>
      <c r="B16" s="64">
        <v>-89</v>
      </c>
      <c r="C16" s="53"/>
      <c r="D16" s="66">
        <v>-2266</v>
      </c>
      <c r="E16" s="63"/>
      <c r="F16" s="66">
        <v>-2227</v>
      </c>
      <c r="G16" s="53"/>
      <c r="H16" s="63"/>
      <c r="I16" s="53"/>
    </row>
    <row r="17" spans="1:9">
      <c r="A17" s="62" t="s">
        <v>185</v>
      </c>
      <c r="B17" s="65"/>
      <c r="C17" s="53"/>
      <c r="D17" s="65"/>
      <c r="E17" s="53"/>
      <c r="F17" s="6"/>
      <c r="G17">
        <v>-24900</v>
      </c>
      <c r="H17">
        <v>3651</v>
      </c>
      <c r="I17">
        <v>-5577</v>
      </c>
    </row>
    <row r="18" spans="1:9">
      <c r="A18" s="62" t="s">
        <v>97</v>
      </c>
      <c r="B18" s="66">
        <v>-6682</v>
      </c>
      <c r="C18" s="53"/>
      <c r="D18" s="66">
        <v>-3788</v>
      </c>
      <c r="E18" s="63"/>
      <c r="F18" s="66">
        <v>-1688</v>
      </c>
      <c r="G18" s="53"/>
      <c r="H18" s="63"/>
      <c r="I18" s="53"/>
    </row>
    <row r="19" spans="1:9">
      <c r="A19" s="62" t="s">
        <v>100</v>
      </c>
      <c r="B19" s="64">
        <v>-347</v>
      </c>
      <c r="C19" s="53"/>
      <c r="D19" s="66">
        <v>-1356</v>
      </c>
      <c r="E19" s="63"/>
      <c r="F19" s="64" t="s">
        <v>186</v>
      </c>
      <c r="G19" s="53"/>
      <c r="H19" s="62"/>
      <c r="I19" s="53"/>
    </row>
    <row r="20" spans="1:9">
      <c r="A20" s="62" t="s">
        <v>103</v>
      </c>
      <c r="B20" s="64" t="s">
        <v>187</v>
      </c>
      <c r="C20" s="53"/>
      <c r="D20" s="66">
        <v>-1046</v>
      </c>
      <c r="E20" s="63"/>
      <c r="F20" s="66">
        <v>-1618</v>
      </c>
      <c r="G20" s="53"/>
      <c r="H20" s="63"/>
      <c r="I20" s="53"/>
    </row>
    <row r="21" spans="1:9">
      <c r="A21" s="62" t="s">
        <v>188</v>
      </c>
      <c r="B21" s="66">
        <v>-9197</v>
      </c>
      <c r="C21" s="53"/>
      <c r="D21" s="66">
        <v>-11731</v>
      </c>
      <c r="E21" s="63"/>
      <c r="F21" s="66">
        <v>-5684</v>
      </c>
      <c r="G21" s="53"/>
      <c r="H21" s="63"/>
      <c r="I21" s="53"/>
    </row>
    <row r="22" spans="1:9">
      <c r="A22" s="62" t="s">
        <v>129</v>
      </c>
      <c r="B22" s="64" t="s">
        <v>189</v>
      </c>
      <c r="C22" s="53"/>
      <c r="D22" s="64" t="s">
        <v>190</v>
      </c>
      <c r="E22" s="62"/>
      <c r="F22" s="66">
        <v>-1889</v>
      </c>
      <c r="G22" s="53"/>
      <c r="H22" s="63"/>
      <c r="I22" s="53"/>
    </row>
    <row r="23" spans="1:9">
      <c r="A23" s="62" t="s">
        <v>191</v>
      </c>
      <c r="B23" s="66">
        <v>-11076</v>
      </c>
      <c r="C23" s="53"/>
      <c r="D23" s="64" t="s">
        <v>192</v>
      </c>
      <c r="E23" s="62"/>
      <c r="F23" s="64" t="s">
        <v>193</v>
      </c>
      <c r="G23" s="53"/>
      <c r="H23" s="62"/>
      <c r="I23" s="53"/>
    </row>
    <row r="24" spans="1:9">
      <c r="A24" s="62" t="s">
        <v>194</v>
      </c>
      <c r="B24" s="64" t="s">
        <v>195</v>
      </c>
      <c r="C24" s="53"/>
      <c r="D24" s="64" t="s">
        <v>196</v>
      </c>
      <c r="E24" s="62"/>
      <c r="F24" s="64" t="s">
        <v>197</v>
      </c>
      <c r="G24" s="53"/>
      <c r="H24" s="62"/>
      <c r="I24" s="53"/>
    </row>
    <row r="25" spans="1:9">
      <c r="A25" s="53"/>
      <c r="B25" s="65"/>
      <c r="C25" s="53"/>
      <c r="D25" s="65"/>
      <c r="E25" s="53"/>
      <c r="F25" s="6"/>
    </row>
    <row r="26" spans="1:9">
      <c r="A26" s="62" t="s">
        <v>198</v>
      </c>
      <c r="B26" s="65"/>
      <c r="C26" s="53"/>
      <c r="D26" s="65"/>
      <c r="E26" s="53"/>
      <c r="F26" s="6"/>
    </row>
    <row r="27" spans="1:9">
      <c r="A27" s="62" t="s">
        <v>199</v>
      </c>
      <c r="B27" s="66">
        <v>-24407</v>
      </c>
      <c r="C27" s="53"/>
      <c r="D27" s="66">
        <v>-48656</v>
      </c>
      <c r="E27" s="63"/>
      <c r="F27" s="66">
        <v>-29513</v>
      </c>
      <c r="G27" s="53"/>
      <c r="H27" s="63"/>
      <c r="I27" s="53"/>
    </row>
    <row r="28" spans="1:9">
      <c r="A28" s="62" t="s">
        <v>200</v>
      </c>
      <c r="B28" s="64" t="s">
        <v>201</v>
      </c>
      <c r="C28" s="53"/>
      <c r="D28" s="64" t="s">
        <v>202</v>
      </c>
      <c r="E28" s="62"/>
      <c r="F28" s="64" t="s">
        <v>203</v>
      </c>
      <c r="G28" s="53"/>
      <c r="H28" s="62"/>
      <c r="I28" s="53"/>
    </row>
    <row r="29" spans="1:9">
      <c r="A29" s="62" t="s">
        <v>204</v>
      </c>
      <c r="B29" s="64" t="s">
        <v>205</v>
      </c>
      <c r="C29" s="53"/>
      <c r="D29" s="64" t="s">
        <v>206</v>
      </c>
      <c r="E29" s="62"/>
      <c r="F29" s="64" t="s">
        <v>207</v>
      </c>
      <c r="G29" s="53"/>
      <c r="H29" s="62"/>
      <c r="I29" s="53"/>
    </row>
    <row r="30" spans="1:9">
      <c r="A30" s="62" t="s">
        <v>208</v>
      </c>
      <c r="B30" s="66">
        <v>-12715</v>
      </c>
      <c r="C30" s="53"/>
      <c r="D30" s="66">
        <v>-9447</v>
      </c>
      <c r="E30" s="63"/>
      <c r="F30" s="66">
        <v>-10959</v>
      </c>
      <c r="G30" s="53"/>
      <c r="H30" s="63"/>
      <c r="I30" s="53"/>
    </row>
    <row r="31" spans="1:9">
      <c r="B31" s="6"/>
      <c r="D31" s="6"/>
      <c r="F31" s="6"/>
    </row>
    <row r="32" spans="1:9">
      <c r="A32" s="62" t="s">
        <v>184</v>
      </c>
      <c r="B32" s="66">
        <v>-1480</v>
      </c>
      <c r="C32" s="53"/>
      <c r="D32" s="66">
        <v>-1308</v>
      </c>
      <c r="E32" s="63"/>
      <c r="F32" s="66">
        <v>-1337</v>
      </c>
      <c r="G32" s="53"/>
      <c r="H32" s="63"/>
      <c r="I32" s="53"/>
    </row>
    <row r="33" spans="1:12">
      <c r="A33" s="62" t="s">
        <v>209</v>
      </c>
      <c r="B33" s="64" t="s">
        <v>210</v>
      </c>
      <c r="C33" s="53"/>
      <c r="D33" s="64" t="s">
        <v>211</v>
      </c>
      <c r="E33" s="62"/>
      <c r="F33" s="64" t="s">
        <v>212</v>
      </c>
      <c r="G33" s="53"/>
      <c r="H33" s="62"/>
      <c r="I33" s="53"/>
    </row>
    <row r="34" spans="1:12">
      <c r="A34" s="53"/>
      <c r="B34" s="65"/>
      <c r="C34" s="53"/>
      <c r="D34" s="65"/>
      <c r="E34" s="53"/>
      <c r="F34" s="6"/>
    </row>
    <row r="35" spans="1:12">
      <c r="A35" s="62" t="s">
        <v>213</v>
      </c>
      <c r="B35" s="65"/>
      <c r="C35" s="53"/>
      <c r="D35" s="65"/>
      <c r="E35" s="53"/>
      <c r="F35" s="6"/>
    </row>
    <row r="36" spans="1:12">
      <c r="A36" s="62" t="s">
        <v>214</v>
      </c>
      <c r="B36" s="66">
        <v>-5960</v>
      </c>
      <c r="C36" s="53"/>
      <c r="D36" s="66">
        <v>-5441</v>
      </c>
      <c r="E36" s="63"/>
      <c r="F36" s="66">
        <v>-5431</v>
      </c>
      <c r="G36" s="53"/>
      <c r="H36" s="63"/>
      <c r="I36" s="53"/>
    </row>
    <row r="37" spans="1:12">
      <c r="A37" s="62" t="s">
        <v>215</v>
      </c>
      <c r="B37" s="66">
        <v>-15421</v>
      </c>
      <c r="C37" s="53"/>
      <c r="D37" s="66">
        <v>-15234</v>
      </c>
      <c r="E37" s="63"/>
      <c r="F37" s="66">
        <v>-15025</v>
      </c>
      <c r="G37" s="53"/>
      <c r="H37" s="63"/>
      <c r="I37" s="53"/>
    </row>
    <row r="38" spans="1:12">
      <c r="A38" s="62" t="s">
        <v>216</v>
      </c>
      <c r="B38" s="66">
        <v>-90711</v>
      </c>
      <c r="C38" s="53"/>
      <c r="D38" s="66">
        <v>-94949</v>
      </c>
      <c r="E38" s="63"/>
      <c r="F38" s="66">
        <v>-77550</v>
      </c>
      <c r="G38" s="53"/>
      <c r="H38" s="63"/>
      <c r="I38" s="53"/>
    </row>
    <row r="39" spans="1:12">
      <c r="A39" s="62" t="s">
        <v>217</v>
      </c>
      <c r="B39" s="64" t="s">
        <v>218</v>
      </c>
      <c r="C39" s="53"/>
      <c r="D39" s="64" t="s">
        <v>219</v>
      </c>
      <c r="E39" s="62"/>
      <c r="F39" s="64" t="s">
        <v>220</v>
      </c>
      <c r="G39" s="53"/>
      <c r="H39" s="62"/>
      <c r="I39" s="53"/>
    </row>
    <row r="40" spans="1:12">
      <c r="A40" s="62" t="s">
        <v>221</v>
      </c>
      <c r="B40" s="66">
        <v>-10932</v>
      </c>
      <c r="C40" s="53"/>
      <c r="D40" s="66">
        <v>-9958</v>
      </c>
      <c r="E40" s="63"/>
      <c r="F40" s="66">
        <v>-11151</v>
      </c>
      <c r="G40" s="53"/>
      <c r="H40" s="63"/>
      <c r="I40" s="53"/>
    </row>
    <row r="41" spans="1:12">
      <c r="A41" s="62" t="s">
        <v>222</v>
      </c>
      <c r="B41" s="66">
        <v>-2032</v>
      </c>
      <c r="C41" s="53"/>
      <c r="D41" s="64" t="s">
        <v>223</v>
      </c>
      <c r="E41" s="62"/>
      <c r="F41" s="66">
        <v>-3978</v>
      </c>
      <c r="G41" s="53"/>
      <c r="H41" s="63"/>
      <c r="I41" s="53"/>
    </row>
    <row r="42" spans="1:12">
      <c r="A42" s="62" t="s">
        <v>184</v>
      </c>
      <c r="B42" s="64">
        <v>-111</v>
      </c>
      <c r="C42" s="53"/>
      <c r="D42" s="64">
        <v>-361</v>
      </c>
      <c r="E42" s="62"/>
      <c r="F42" s="64">
        <v>-581</v>
      </c>
      <c r="G42" s="53"/>
      <c r="H42" s="62"/>
      <c r="I42" s="53"/>
    </row>
    <row r="43" spans="1:12">
      <c r="A43" s="62" t="s">
        <v>224</v>
      </c>
      <c r="B43" s="66">
        <v>-120686</v>
      </c>
      <c r="C43" s="53"/>
      <c r="D43" s="66">
        <v>-121983</v>
      </c>
      <c r="E43" s="63"/>
      <c r="F43" s="66">
        <v>-108488</v>
      </c>
      <c r="G43" s="53"/>
      <c r="H43" s="63"/>
      <c r="I43" s="53"/>
    </row>
    <row r="44" spans="1:12">
      <c r="A44" s="53"/>
      <c r="B44" s="65"/>
      <c r="C44" s="53"/>
      <c r="D44" s="65"/>
      <c r="E44" s="53"/>
      <c r="F44" s="6"/>
    </row>
    <row r="45" spans="1:12">
      <c r="A45" s="62" t="s">
        <v>225</v>
      </c>
      <c r="B45" s="64" t="s">
        <v>226</v>
      </c>
      <c r="C45" s="53"/>
      <c r="D45" s="64">
        <v>-794</v>
      </c>
      <c r="E45" s="62"/>
      <c r="F45" s="64" t="s">
        <v>227</v>
      </c>
      <c r="G45" s="53"/>
      <c r="H45" s="62"/>
      <c r="I45" s="53"/>
    </row>
    <row r="46" spans="1:12">
      <c r="A46" s="62" t="s">
        <v>228</v>
      </c>
      <c r="B46" s="64" t="s">
        <v>92</v>
      </c>
      <c r="C46" s="62"/>
      <c r="D46" s="64" t="s">
        <v>93</v>
      </c>
      <c r="E46" s="62"/>
      <c r="F46" s="64" t="s">
        <v>175</v>
      </c>
      <c r="G46" s="62"/>
      <c r="H46" s="62"/>
      <c r="I46" s="53"/>
      <c r="J46" s="62"/>
      <c r="K46" s="62"/>
      <c r="L46" s="53"/>
    </row>
    <row r="47" spans="1:12">
      <c r="A47" s="53"/>
      <c r="B47" s="65"/>
      <c r="C47" s="53"/>
      <c r="D47" s="65"/>
      <c r="E47" s="53"/>
      <c r="F47" s="6"/>
    </row>
    <row r="48" spans="1:12">
      <c r="A48" s="62" t="s">
        <v>229</v>
      </c>
      <c r="B48" s="65"/>
      <c r="C48" s="53"/>
      <c r="D48" s="65"/>
      <c r="E48" s="53"/>
      <c r="F48" s="6"/>
    </row>
    <row r="49" spans="1:12">
      <c r="A49" s="62" t="s">
        <v>230</v>
      </c>
      <c r="B49" s="64" t="s">
        <v>231</v>
      </c>
      <c r="C49" s="62"/>
      <c r="D49" s="64" t="s">
        <v>232</v>
      </c>
      <c r="E49" s="62"/>
      <c r="F49" s="64" t="s">
        <v>233</v>
      </c>
      <c r="G49" s="62"/>
      <c r="H49" s="62"/>
      <c r="I49" s="53"/>
      <c r="J49" s="62"/>
      <c r="K49" s="62"/>
      <c r="L49" s="53"/>
    </row>
  </sheetData>
  <mergeCells count="3">
    <mergeCell ref="A7:A8"/>
    <mergeCell ref="C7:C8"/>
    <mergeCell ref="E7:E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C9DC91-7D78-B645-9293-29BCB76FD846}">
  <dimension ref="A1:I30"/>
  <sheetViews>
    <sheetView topLeftCell="A5" workbookViewId="0">
      <selection activeCell="H20" sqref="H20"/>
    </sheetView>
  </sheetViews>
  <sheetFormatPr baseColWidth="10" defaultRowHeight="16"/>
  <cols>
    <col min="1" max="1" width="27" bestFit="1" customWidth="1"/>
    <col min="2" max="2" width="8.6640625" bestFit="1" customWidth="1"/>
    <col min="3" max="3" width="9.1640625" customWidth="1"/>
    <col min="4" max="9" width="8.6640625" bestFit="1" customWidth="1"/>
  </cols>
  <sheetData>
    <row r="1" spans="1:9">
      <c r="A1" s="67" t="s">
        <v>234</v>
      </c>
      <c r="B1" s="68">
        <v>2021</v>
      </c>
      <c r="C1" s="68">
        <v>2022</v>
      </c>
      <c r="D1" s="68">
        <v>2023</v>
      </c>
      <c r="E1" s="68">
        <v>2024</v>
      </c>
      <c r="F1" s="68">
        <v>2025</v>
      </c>
      <c r="G1" s="68">
        <v>2026</v>
      </c>
      <c r="H1" s="68">
        <v>2027</v>
      </c>
      <c r="I1" s="68">
        <v>2028</v>
      </c>
    </row>
    <row r="2" spans="1:9">
      <c r="A2" s="67"/>
      <c r="B2" s="68"/>
      <c r="C2" s="68"/>
      <c r="D2" s="68"/>
      <c r="E2" s="68"/>
      <c r="F2" s="68"/>
      <c r="G2" s="68"/>
      <c r="H2" s="68"/>
      <c r="I2" s="68"/>
    </row>
    <row r="3" spans="1:9">
      <c r="A3" s="69" t="s">
        <v>235</v>
      </c>
      <c r="B3" s="71">
        <v>365817</v>
      </c>
      <c r="C3" s="71">
        <v>394328</v>
      </c>
      <c r="D3" s="71">
        <v>383285</v>
      </c>
      <c r="E3" s="71">
        <v>391035</v>
      </c>
      <c r="F3" s="71">
        <v>416161</v>
      </c>
      <c r="G3" s="71">
        <v>477833</v>
      </c>
      <c r="H3" s="71">
        <v>527946</v>
      </c>
      <c r="I3" s="71">
        <v>571023</v>
      </c>
    </row>
    <row r="4" spans="1:9">
      <c r="A4" s="72" t="s">
        <v>236</v>
      </c>
      <c r="B4" s="72" t="s">
        <v>237</v>
      </c>
      <c r="C4" s="74">
        <v>7.7899999999999997E-2</v>
      </c>
      <c r="D4" s="74">
        <v>-2.8000000000000001E-2</v>
      </c>
      <c r="E4" s="74">
        <v>2.0199999999999999E-2</v>
      </c>
      <c r="F4" s="74">
        <v>6.4299999999999996E-2</v>
      </c>
      <c r="G4" s="74">
        <v>0.1482</v>
      </c>
      <c r="H4" s="74">
        <v>0.10489999999999999</v>
      </c>
      <c r="I4" s="74">
        <v>8.1600000000000006E-2</v>
      </c>
    </row>
    <row r="5" spans="1:9">
      <c r="A5" s="69" t="s">
        <v>238</v>
      </c>
      <c r="B5" s="71">
        <v>120233</v>
      </c>
      <c r="C5" s="71">
        <v>130541</v>
      </c>
      <c r="D5" s="71">
        <v>125820</v>
      </c>
      <c r="E5" s="71">
        <v>134661</v>
      </c>
      <c r="F5" s="71">
        <v>144495</v>
      </c>
      <c r="G5" s="71">
        <v>169437</v>
      </c>
      <c r="H5" s="71">
        <v>180100</v>
      </c>
      <c r="I5" s="71">
        <v>198544</v>
      </c>
    </row>
    <row r="6" spans="1:9">
      <c r="A6" s="72" t="s">
        <v>236</v>
      </c>
      <c r="B6" s="72" t="s">
        <v>237</v>
      </c>
      <c r="C6" s="74">
        <v>8.5699999999999998E-2</v>
      </c>
      <c r="D6" s="74">
        <v>-3.6200000000000003E-2</v>
      </c>
      <c r="E6" s="74">
        <v>7.0300000000000001E-2</v>
      </c>
      <c r="F6" s="74">
        <v>7.2999999999999995E-2</v>
      </c>
      <c r="G6" s="74">
        <v>0.1726</v>
      </c>
      <c r="H6" s="74">
        <v>6.2899999999999998E-2</v>
      </c>
      <c r="I6" s="74">
        <v>0.1024</v>
      </c>
    </row>
    <row r="7" spans="1:9">
      <c r="A7" s="69" t="s">
        <v>239</v>
      </c>
      <c r="B7" s="71">
        <v>108949</v>
      </c>
      <c r="C7" s="71">
        <v>119437</v>
      </c>
      <c r="D7" s="71">
        <v>114301</v>
      </c>
      <c r="E7" s="71">
        <v>123216</v>
      </c>
      <c r="F7" s="71">
        <v>133050</v>
      </c>
      <c r="G7" s="71">
        <v>156384</v>
      </c>
      <c r="H7" s="71">
        <v>166731</v>
      </c>
      <c r="I7" s="71">
        <v>186085</v>
      </c>
    </row>
    <row r="8" spans="1:9">
      <c r="A8" s="72" t="s">
        <v>236</v>
      </c>
      <c r="B8" s="72" t="s">
        <v>237</v>
      </c>
      <c r="C8" s="74">
        <v>9.6299999999999997E-2</v>
      </c>
      <c r="D8" s="74">
        <v>-4.2999999999999997E-2</v>
      </c>
      <c r="E8" s="74">
        <v>7.8E-2</v>
      </c>
      <c r="F8" s="74">
        <v>7.9799999999999996E-2</v>
      </c>
      <c r="G8" s="74">
        <v>0.1754</v>
      </c>
      <c r="H8" s="74">
        <v>6.6199999999999995E-2</v>
      </c>
      <c r="I8" s="74">
        <v>0.11609999999999999</v>
      </c>
    </row>
    <row r="9" spans="1:9">
      <c r="A9" s="69" t="s">
        <v>240</v>
      </c>
      <c r="B9" s="71">
        <v>-2645</v>
      </c>
      <c r="C9" s="69">
        <v>-334</v>
      </c>
      <c r="D9" s="69">
        <v>-565</v>
      </c>
      <c r="E9" s="69">
        <v>269</v>
      </c>
      <c r="F9" s="69">
        <v>-321</v>
      </c>
      <c r="G9" s="69">
        <v>-402</v>
      </c>
      <c r="H9" s="71">
        <v>-1000</v>
      </c>
      <c r="I9" s="71">
        <v>-1000</v>
      </c>
    </row>
    <row r="10" spans="1:9">
      <c r="A10" s="69" t="s">
        <v>241</v>
      </c>
      <c r="B10" s="71">
        <v>109207</v>
      </c>
      <c r="C10" s="71">
        <v>119103</v>
      </c>
      <c r="D10" s="71">
        <v>113736</v>
      </c>
      <c r="E10" s="71">
        <v>123485</v>
      </c>
      <c r="F10" s="71">
        <v>132729</v>
      </c>
      <c r="G10" s="71">
        <v>156719</v>
      </c>
      <c r="H10" s="71">
        <v>165810</v>
      </c>
      <c r="I10" s="71">
        <v>184938</v>
      </c>
    </row>
    <row r="11" spans="1:9">
      <c r="A11" s="72" t="s">
        <v>236</v>
      </c>
      <c r="B11" s="72" t="s">
        <v>237</v>
      </c>
      <c r="C11" s="74">
        <v>9.06E-2</v>
      </c>
      <c r="D11" s="74">
        <v>-4.5100000000000001E-2</v>
      </c>
      <c r="E11" s="74">
        <v>8.5699999999999998E-2</v>
      </c>
      <c r="F11" s="74">
        <v>7.4899999999999994E-2</v>
      </c>
      <c r="G11" s="74">
        <v>0.1807</v>
      </c>
      <c r="H11" s="74">
        <v>5.8000000000000003E-2</v>
      </c>
      <c r="I11" s="74">
        <v>0.1154</v>
      </c>
    </row>
    <row r="12" spans="1:9">
      <c r="A12" s="69" t="s">
        <v>242</v>
      </c>
      <c r="B12" s="71">
        <v>94680</v>
      </c>
      <c r="C12" s="71">
        <v>99803</v>
      </c>
      <c r="D12" s="71">
        <v>96995</v>
      </c>
      <c r="E12" s="71">
        <v>93736</v>
      </c>
      <c r="F12" s="71">
        <v>112010</v>
      </c>
      <c r="G12" s="71">
        <v>129933</v>
      </c>
      <c r="H12" s="71">
        <v>138582</v>
      </c>
      <c r="I12" s="71">
        <v>154136</v>
      </c>
    </row>
    <row r="13" spans="1:9">
      <c r="A13" s="72" t="s">
        <v>236</v>
      </c>
      <c r="B13" s="72" t="s">
        <v>237</v>
      </c>
      <c r="C13" s="74">
        <v>5.4100000000000002E-2</v>
      </c>
      <c r="D13" s="74">
        <v>-2.81E-2</v>
      </c>
      <c r="E13" s="74">
        <v>-3.3599999999999998E-2</v>
      </c>
      <c r="F13" s="74">
        <v>0.19500000000000001</v>
      </c>
      <c r="G13" s="76">
        <v>0.16</v>
      </c>
      <c r="H13" s="74">
        <v>6.6600000000000006E-2</v>
      </c>
      <c r="I13" s="74">
        <v>0.11219999999999999</v>
      </c>
    </row>
    <row r="16" spans="1:9">
      <c r="A16" t="s">
        <v>243</v>
      </c>
    </row>
    <row r="19" spans="1:7">
      <c r="B19" s="77">
        <v>2026</v>
      </c>
      <c r="C19" s="77">
        <v>2027</v>
      </c>
      <c r="D19" s="77">
        <v>2028</v>
      </c>
      <c r="E19" s="77">
        <v>2029</v>
      </c>
      <c r="F19" s="77">
        <v>2030</v>
      </c>
      <c r="G19" s="77">
        <v>2031</v>
      </c>
    </row>
    <row r="20" spans="1:7">
      <c r="A20" t="s">
        <v>74</v>
      </c>
      <c r="B20" s="70">
        <v>477833</v>
      </c>
      <c r="C20" s="70">
        <v>527946</v>
      </c>
      <c r="D20" s="70">
        <v>571023</v>
      </c>
      <c r="E20" s="70">
        <v>608140</v>
      </c>
      <c r="F20" s="70">
        <v>638547</v>
      </c>
      <c r="G20" s="70">
        <v>664089</v>
      </c>
    </row>
    <row r="21" spans="1:7">
      <c r="A21" t="s">
        <v>236</v>
      </c>
      <c r="B21" s="73">
        <v>0.1482</v>
      </c>
      <c r="C21" s="73">
        <v>0.10489999999999999</v>
      </c>
      <c r="D21" s="73">
        <v>8.1600000000000006E-2</v>
      </c>
      <c r="E21" s="73">
        <v>6.5000000000000002E-2</v>
      </c>
      <c r="F21" s="73">
        <v>0.05</v>
      </c>
      <c r="G21" s="73">
        <v>0.04</v>
      </c>
    </row>
    <row r="22" spans="1:7">
      <c r="A22" t="s">
        <v>244</v>
      </c>
      <c r="B22" s="70">
        <v>169437</v>
      </c>
      <c r="C22" s="70">
        <v>180100</v>
      </c>
      <c r="D22" s="70">
        <v>198544</v>
      </c>
      <c r="E22" s="70">
        <v>211470</v>
      </c>
      <c r="F22" s="70">
        <v>222033</v>
      </c>
      <c r="G22" s="70">
        <v>230899</v>
      </c>
    </row>
    <row r="23" spans="1:7">
      <c r="A23" t="s">
        <v>236</v>
      </c>
      <c r="B23" s="73">
        <v>0.1726</v>
      </c>
      <c r="C23" s="73">
        <v>6.2899999999999998E-2</v>
      </c>
      <c r="D23" s="73">
        <v>0.1024</v>
      </c>
      <c r="E23" s="73">
        <v>6.5100000000000005E-2</v>
      </c>
      <c r="F23" s="73">
        <v>0.05</v>
      </c>
      <c r="G23" s="73">
        <v>3.9899999999999998E-2</v>
      </c>
    </row>
    <row r="24" spans="1:7">
      <c r="A24" t="s">
        <v>14</v>
      </c>
      <c r="B24" s="70">
        <v>156384</v>
      </c>
      <c r="C24" s="70">
        <v>166731</v>
      </c>
      <c r="D24" s="70">
        <v>186085</v>
      </c>
      <c r="E24" s="70">
        <v>198193</v>
      </c>
      <c r="F24" s="70">
        <v>208109</v>
      </c>
      <c r="G24" s="70">
        <v>216447</v>
      </c>
    </row>
    <row r="25" spans="1:7">
      <c r="A25" t="s">
        <v>236</v>
      </c>
      <c r="B25" s="73">
        <v>0.1754</v>
      </c>
      <c r="C25" s="73">
        <v>6.6199999999999995E-2</v>
      </c>
      <c r="D25" s="73">
        <v>0.11609999999999999</v>
      </c>
      <c r="E25" s="73">
        <v>6.5100000000000005E-2</v>
      </c>
      <c r="F25" s="73">
        <v>0.05</v>
      </c>
      <c r="G25" s="73">
        <v>4.0099999999999997E-2</v>
      </c>
    </row>
    <row r="26" spans="1:7">
      <c r="A26" t="s">
        <v>245</v>
      </c>
      <c r="B26">
        <v>-402</v>
      </c>
      <c r="C26" s="70">
        <v>-1000</v>
      </c>
      <c r="D26" s="70">
        <v>-1000</v>
      </c>
      <c r="E26" s="70">
        <v>-1000</v>
      </c>
      <c r="F26" s="70">
        <v>-1000</v>
      </c>
      <c r="G26" s="70">
        <v>-1000</v>
      </c>
    </row>
    <row r="27" spans="1:7">
      <c r="A27" t="s">
        <v>246</v>
      </c>
      <c r="B27" s="70">
        <v>156719</v>
      </c>
      <c r="C27" s="70">
        <v>165810</v>
      </c>
      <c r="D27" s="70">
        <v>184938</v>
      </c>
      <c r="E27" s="70">
        <v>197193</v>
      </c>
      <c r="F27" s="70">
        <v>207109</v>
      </c>
      <c r="G27" s="70">
        <v>215447</v>
      </c>
    </row>
    <row r="28" spans="1:7">
      <c r="A28" t="s">
        <v>236</v>
      </c>
      <c r="B28" s="73">
        <v>0.1807</v>
      </c>
      <c r="C28" s="73">
        <v>5.8000000000000003E-2</v>
      </c>
      <c r="D28" s="73">
        <v>0.1154</v>
      </c>
      <c r="E28" s="73">
        <v>6.6299999999999998E-2</v>
      </c>
      <c r="F28" s="73">
        <v>5.0299999999999997E-2</v>
      </c>
      <c r="G28" s="73">
        <v>4.0300000000000002E-2</v>
      </c>
    </row>
    <row r="29" spans="1:7">
      <c r="A29" t="s">
        <v>61</v>
      </c>
      <c r="B29" s="70">
        <v>129933</v>
      </c>
      <c r="C29" s="70">
        <v>138582</v>
      </c>
      <c r="D29" s="70">
        <v>154136</v>
      </c>
      <c r="E29" s="70">
        <v>164138</v>
      </c>
      <c r="F29" s="70">
        <v>172346</v>
      </c>
      <c r="G29" s="70">
        <v>179238</v>
      </c>
    </row>
    <row r="30" spans="1:7">
      <c r="A30" t="s">
        <v>236</v>
      </c>
      <c r="B30" s="75">
        <v>0.16</v>
      </c>
      <c r="C30" s="73">
        <v>6.6600000000000006E-2</v>
      </c>
      <c r="D30" s="73">
        <v>0.11219999999999999</v>
      </c>
      <c r="E30" s="73">
        <v>6.4899999999999999E-2</v>
      </c>
      <c r="F30" s="73">
        <v>0.05</v>
      </c>
      <c r="G30" s="73">
        <v>0.04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5E97B7-E6EF-B94A-B4BC-67B90ACAAD34}">
  <dimension ref="B2:E22"/>
  <sheetViews>
    <sheetView showGridLines="0" workbookViewId="0">
      <selection activeCell="E23" sqref="E23"/>
    </sheetView>
  </sheetViews>
  <sheetFormatPr baseColWidth="10" defaultRowHeight="16"/>
  <cols>
    <col min="5" max="5" width="13" bestFit="1" customWidth="1"/>
  </cols>
  <sheetData>
    <row r="2" spans="2:5">
      <c r="B2" t="s">
        <v>15</v>
      </c>
    </row>
    <row r="3" spans="2:5">
      <c r="B3" t="s">
        <v>251</v>
      </c>
    </row>
    <row r="4" spans="2:5">
      <c r="B4" t="s">
        <v>252</v>
      </c>
    </row>
    <row r="5" spans="2:5">
      <c r="B5" t="s">
        <v>253</v>
      </c>
    </row>
    <row r="7" spans="2:5">
      <c r="B7" s="9" t="s">
        <v>15</v>
      </c>
      <c r="C7" s="9"/>
      <c r="D7" s="9"/>
      <c r="E7" s="9"/>
    </row>
    <row r="8" spans="2:5">
      <c r="B8" t="s">
        <v>254</v>
      </c>
      <c r="E8" s="83">
        <v>4980000</v>
      </c>
    </row>
    <row r="9" spans="2:5">
      <c r="B9" t="s">
        <v>255</v>
      </c>
      <c r="E9" s="84">
        <f>E8/(E8+E15)</f>
        <v>0.98211718432919626</v>
      </c>
    </row>
    <row r="10" spans="2:5">
      <c r="B10" t="s">
        <v>256</v>
      </c>
      <c r="E10" s="84">
        <f>E11+E12*E13</f>
        <v>9.5126000000000002E-2</v>
      </c>
    </row>
    <row r="11" spans="2:5">
      <c r="B11" t="s">
        <v>257</v>
      </c>
      <c r="E11" s="13">
        <v>0.05</v>
      </c>
    </row>
    <row r="12" spans="2:5">
      <c r="B12" t="s">
        <v>258</v>
      </c>
      <c r="E12" s="12">
        <v>1.0900000000000001</v>
      </c>
    </row>
    <row r="13" spans="2:5">
      <c r="B13" t="s">
        <v>259</v>
      </c>
      <c r="E13" s="15">
        <v>4.1399999999999999E-2</v>
      </c>
    </row>
    <row r="15" spans="2:5">
      <c r="B15" t="s">
        <v>260</v>
      </c>
      <c r="E15" s="85">
        <f>12350+78328</f>
        <v>90678</v>
      </c>
    </row>
    <row r="16" spans="2:5">
      <c r="B16" t="s">
        <v>261</v>
      </c>
      <c r="E16" s="84">
        <f>E15/(E8+E15)</f>
        <v>1.7882815670803787E-2</v>
      </c>
    </row>
    <row r="17" spans="2:5">
      <c r="B17" t="s">
        <v>262</v>
      </c>
      <c r="E17" s="13">
        <v>4.2000000000000003E-2</v>
      </c>
    </row>
    <row r="18" spans="2:5">
      <c r="B18" t="s">
        <v>263</v>
      </c>
      <c r="E18" s="14">
        <f>DCF!I14</f>
        <v>0.16500000000000001</v>
      </c>
    </row>
    <row r="20" spans="2:5">
      <c r="B20" t="s">
        <v>264</v>
      </c>
      <c r="E20" s="83">
        <f>E8+E15</f>
        <v>5070678</v>
      </c>
    </row>
    <row r="22" spans="2:5">
      <c r="B22" t="s">
        <v>15</v>
      </c>
      <c r="E22" s="82">
        <f>E9*E10+E16*E17*(1-E18)</f>
        <v>9.4052029622074221E-2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DCF</vt:lpstr>
      <vt:lpstr>Income Statement</vt:lpstr>
      <vt:lpstr>Balance Sheet</vt:lpstr>
      <vt:lpstr>Cash Flow</vt:lpstr>
      <vt:lpstr>Estimates</vt:lpstr>
      <vt:lpstr>WACC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(s) Sahaij Gill</dc:creator>
  <cp:lastModifiedBy>(s) Sahaij Gill</cp:lastModifiedBy>
  <dcterms:created xsi:type="dcterms:W3CDTF">2026-09-27T17:20:43Z</dcterms:created>
  <dcterms:modified xsi:type="dcterms:W3CDTF">2026-09-28T17:41:17Z</dcterms:modified>
</cp:coreProperties>
</file>